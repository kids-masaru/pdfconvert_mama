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64D1EAB-1634-4CCB-910B-698C1E4D8622}" xr6:coauthVersionLast="47" xr6:coauthVersionMax="47" xr10:uidLastSave="{00000000-0000-0000-0000-000000000000}"/>
  <bookViews>
    <workbookView xWindow="-108" yWindow="-108" windowWidth="23256" windowHeight="13896" firstSheet="2" activeTab="4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盛付札（関数）" sheetId="4" state="hidden" r:id="rId4"/>
    <sheet name="盛付札" sheetId="6" r:id="rId5"/>
    <sheet name="商品マスタ一覧" sheetId="5" state="hidden" r:id="rId6"/>
  </sheets>
  <functionGroups builtInGroupCount="19"/>
  <definedNames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1" i="6" l="1"/>
  <c r="BA1" i="6"/>
  <c r="AL1" i="6"/>
  <c r="W1" i="6"/>
  <c r="P1" i="6"/>
  <c r="H1" i="6"/>
  <c r="A8" i="6"/>
  <c r="H8" i="6" s="1"/>
  <c r="A15" i="6" s="1"/>
  <c r="BX107" i="4"/>
  <c r="BX111" i="4" s="1"/>
  <c r="BX115" i="4" s="1"/>
  <c r="BX119" i="4" s="1"/>
  <c r="BX106" i="4"/>
  <c r="BX110" i="4" s="1"/>
  <c r="BX114" i="4" s="1"/>
  <c r="BX118" i="4" s="1"/>
  <c r="BX105" i="4"/>
  <c r="BX109" i="4" s="1"/>
  <c r="BX113" i="4" s="1"/>
  <c r="BX117" i="4" s="1"/>
  <c r="BX104" i="4"/>
  <c r="BX108" i="4" s="1"/>
  <c r="BX112" i="4" s="1"/>
  <c r="BX116" i="4" s="1"/>
  <c r="BX120" i="4" s="1"/>
  <c r="BX102" i="4"/>
  <c r="BX84" i="4"/>
  <c r="BX88" i="4" s="1"/>
  <c r="BX92" i="4" s="1"/>
  <c r="BX96" i="4" s="1"/>
  <c r="BX83" i="4"/>
  <c r="BX87" i="4" s="1"/>
  <c r="BX91" i="4" s="1"/>
  <c r="BX95" i="4" s="1"/>
  <c r="BX82" i="4"/>
  <c r="BX86" i="4" s="1"/>
  <c r="BX90" i="4" s="1"/>
  <c r="BX94" i="4" s="1"/>
  <c r="BX81" i="4"/>
  <c r="BX85" i="4" s="1"/>
  <c r="BX89" i="4" s="1"/>
  <c r="BX93" i="4" s="1"/>
  <c r="BX80" i="4"/>
  <c r="BX78" i="4"/>
  <c r="BX60" i="4"/>
  <c r="BX64" i="4" s="1"/>
  <c r="BX68" i="4" s="1"/>
  <c r="BX72" i="4" s="1"/>
  <c r="BX59" i="4"/>
  <c r="BX63" i="4" s="1"/>
  <c r="BX67" i="4" s="1"/>
  <c r="BX71" i="4" s="1"/>
  <c r="BX58" i="4"/>
  <c r="BX62" i="4" s="1"/>
  <c r="BX66" i="4" s="1"/>
  <c r="BX70" i="4" s="1"/>
  <c r="BX57" i="4"/>
  <c r="BX61" i="4" s="1"/>
  <c r="BX65" i="4" s="1"/>
  <c r="BX69" i="4" s="1"/>
  <c r="BX56" i="4"/>
  <c r="BX54" i="4"/>
  <c r="BX36" i="4"/>
  <c r="BX40" i="4" s="1"/>
  <c r="BX44" i="4" s="1"/>
  <c r="BX48" i="4" s="1"/>
  <c r="BX35" i="4"/>
  <c r="BX39" i="4" s="1"/>
  <c r="BX43" i="4" s="1"/>
  <c r="BX47" i="4" s="1"/>
  <c r="BX33" i="4"/>
  <c r="BX37" i="4" s="1"/>
  <c r="BX41" i="4" s="1"/>
  <c r="BX45" i="4" s="1"/>
  <c r="BX32" i="4"/>
  <c r="BX30" i="4"/>
  <c r="BX34" i="4" s="1"/>
  <c r="BX38" i="4" s="1"/>
  <c r="BX42" i="4" s="1"/>
  <c r="BX46" i="4" s="1"/>
  <c r="BX24" i="4"/>
  <c r="BX23" i="4"/>
  <c r="BX22" i="4"/>
  <c r="BX21" i="4"/>
  <c r="BX20" i="4"/>
  <c r="BX19" i="4"/>
  <c r="BX18" i="4"/>
  <c r="BX17" i="4"/>
  <c r="BX16" i="4"/>
  <c r="BX15" i="4"/>
  <c r="BX14" i="4"/>
  <c r="BX13" i="4"/>
  <c r="BX12" i="4"/>
  <c r="BX10" i="4"/>
  <c r="BX11" i="4"/>
  <c r="BX9" i="4"/>
  <c r="BX8" i="4"/>
  <c r="BX6" i="4"/>
  <c r="A2" i="2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/>
  <c r="AN144" i="3" s="1"/>
  <c r="V144" i="2" a="1"/>
  <c r="V144" i="2" s="1"/>
  <c r="AM144" i="3" s="1"/>
  <c r="T144" i="2" a="1"/>
  <c r="T144" i="2"/>
  <c r="AJ144" i="3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/>
  <c r="AN140" i="3" s="1"/>
  <c r="V140" i="2" a="1"/>
  <c r="V140" i="2"/>
  <c r="AM140" i="3" s="1"/>
  <c r="T140" i="2" a="1"/>
  <c r="T140" i="2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/>
  <c r="AM138" i="3" s="1"/>
  <c r="T138" i="2" a="1"/>
  <c r="T138" i="2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A138" i="2"/>
  <c r="A138" i="3" s="1"/>
  <c r="W137" i="2" a="1"/>
  <c r="W137" i="2" s="1"/>
  <c r="AN137" i="3" s="1"/>
  <c r="V137" i="2" a="1"/>
  <c r="V137" i="2"/>
  <c r="AM137" i="3" s="1"/>
  <c r="T137" i="2" a="1"/>
  <c r="T137" i="2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/>
  <c r="AN136" i="3" s="1"/>
  <c r="V136" i="2" a="1"/>
  <c r="V136" i="2" s="1"/>
  <c r="AM136" i="3" s="1"/>
  <c r="T136" i="2" a="1"/>
  <c r="T136" i="2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A136" i="2"/>
  <c r="A136" i="3" s="1"/>
  <c r="W135" i="2" a="1"/>
  <c r="W135" i="2"/>
  <c r="AN135" i="3" s="1"/>
  <c r="V135" i="2" a="1"/>
  <c r="V135" i="2" s="1"/>
  <c r="AM135" i="3" s="1"/>
  <c r="T135" i="2" a="1"/>
  <c r="T135" i="2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/>
  <c r="AM134" i="3" s="1"/>
  <c r="T134" i="2" a="1"/>
  <c r="T134" i="2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A134" i="2"/>
  <c r="A134" i="3" s="1"/>
  <c r="W133" i="2" a="1"/>
  <c r="W133" i="2" s="1"/>
  <c r="AN133" i="3" s="1"/>
  <c r="V133" i="2" a="1"/>
  <c r="V133" i="2" s="1"/>
  <c r="AM133" i="3" s="1"/>
  <c r="T133" i="2" a="1"/>
  <c r="T133" i="2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/>
  <c r="AM132" i="3" s="1"/>
  <c r="T132" i="2" a="1"/>
  <c r="T132" i="2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A132" i="2"/>
  <c r="A132" i="3" s="1"/>
  <c r="W131" i="2" a="1"/>
  <c r="W131" i="2" s="1"/>
  <c r="AN131" i="3" s="1"/>
  <c r="V131" i="2" a="1"/>
  <c r="V131" i="2" s="1"/>
  <c r="AM131" i="3" s="1"/>
  <c r="T131" i="2" a="1"/>
  <c r="T131" i="2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/>
  <c r="AN130" i="3" s="1"/>
  <c r="V130" i="2" a="1"/>
  <c r="V130" i="2"/>
  <c r="AM130" i="3" s="1"/>
  <c r="T130" i="2" a="1"/>
  <c r="T130" i="2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A130" i="2"/>
  <c r="A130" i="3" s="1"/>
  <c r="W129" i="2" a="1"/>
  <c r="W129" i="2" s="1"/>
  <c r="AN129" i="3" s="1"/>
  <c r="V129" i="2" a="1"/>
  <c r="V129" i="2" s="1"/>
  <c r="AM129" i="3" s="1"/>
  <c r="T129" i="2" a="1"/>
  <c r="T129" i="2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/>
  <c r="AN128" i="3" s="1"/>
  <c r="V128" i="2" a="1"/>
  <c r="V128" i="2" s="1"/>
  <c r="AM128" i="3" s="1"/>
  <c r="T128" i="2" a="1"/>
  <c r="T128" i="2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A128" i="2"/>
  <c r="A128" i="3" s="1"/>
  <c r="W127" i="2" a="1"/>
  <c r="W127" i="2"/>
  <c r="AN127" i="3" s="1"/>
  <c r="V127" i="2" a="1"/>
  <c r="V127" i="2" s="1"/>
  <c r="AM127" i="3" s="1"/>
  <c r="T127" i="2" a="1"/>
  <c r="T127" i="2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/>
  <c r="AM126" i="3" s="1"/>
  <c r="T126" i="2" a="1"/>
  <c r="T126" i="2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A126" i="2"/>
  <c r="A126" i="3" s="1"/>
  <c r="W125" i="2" a="1"/>
  <c r="W125" i="2" s="1"/>
  <c r="AN125" i="3" s="1"/>
  <c r="V125" i="2" a="1"/>
  <c r="V125" i="2" s="1"/>
  <c r="AM125" i="3" s="1"/>
  <c r="T125" i="2" a="1"/>
  <c r="T125" i="2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/>
  <c r="AM124" i="3" s="1"/>
  <c r="T124" i="2" a="1"/>
  <c r="T124" i="2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A124" i="2"/>
  <c r="A124" i="3" s="1"/>
  <c r="W123" i="2" a="1"/>
  <c r="W123" i="2" s="1"/>
  <c r="AN123" i="3" s="1"/>
  <c r="V123" i="2" a="1"/>
  <c r="V123" i="2" s="1"/>
  <c r="AM123" i="3" s="1"/>
  <c r="T123" i="2" a="1"/>
  <c r="T123" i="2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/>
  <c r="AM122" i="3" s="1"/>
  <c r="T122" i="2" a="1"/>
  <c r="T122" i="2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A122" i="2"/>
  <c r="A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/>
  <c r="AN120" i="3" s="1"/>
  <c r="V120" i="2" a="1"/>
  <c r="V120" i="2" s="1"/>
  <c r="AM120" i="3" s="1"/>
  <c r="T120" i="2" a="1"/>
  <c r="T120" i="2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A120" i="2"/>
  <c r="A120" i="3" s="1"/>
  <c r="W119" i="2" a="1"/>
  <c r="W119" i="2"/>
  <c r="AN119" i="3" s="1"/>
  <c r="V119" i="2" a="1"/>
  <c r="V119" i="2" s="1"/>
  <c r="AM119" i="3" s="1"/>
  <c r="T119" i="2" a="1"/>
  <c r="T119" i="2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A118" i="2"/>
  <c r="A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/>
  <c r="AN116" i="3" s="1"/>
  <c r="V116" i="2" a="1"/>
  <c r="V116" i="2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A116" i="2"/>
  <c r="A116" i="3" s="1"/>
  <c r="W115" i="2" a="1"/>
  <c r="W115" i="2" s="1"/>
  <c r="AN115" i="3" s="1"/>
  <c r="V115" i="2" a="1"/>
  <c r="V115" i="2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A114" i="2"/>
  <c r="A114" i="3" s="1"/>
  <c r="W113" i="2" a="1"/>
  <c r="W113" i="2" s="1"/>
  <c r="AN113" i="3" s="1"/>
  <c r="V113" i="2" a="1"/>
  <c r="V113" i="2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A112" i="2"/>
  <c r="A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/>
  <c r="AN110" i="3" s="1"/>
  <c r="V110" i="2" a="1"/>
  <c r="V110" i="2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A110" i="2"/>
  <c r="A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A108" i="2"/>
  <c r="A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/>
  <c r="AN102" i="3" s="1"/>
  <c r="V102" i="2" a="1"/>
  <c r="V102" i="2" s="1"/>
  <c r="AM102" i="3" s="1"/>
  <c r="T102" i="2" a="1"/>
  <c r="T102" i="2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/>
  <c r="AM100" i="3" s="1"/>
  <c r="T100" i="2" a="1"/>
  <c r="T100" i="2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/>
  <c r="AN98" i="3" s="1"/>
  <c r="V98" i="2" a="1"/>
  <c r="V98" i="2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/>
  <c r="AN96" i="3" s="1"/>
  <c r="V96" i="2" a="1"/>
  <c r="V96" i="2" s="1"/>
  <c r="AM96" i="3" s="1"/>
  <c r="T96" i="2" a="1"/>
  <c r="T96" i="2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/>
  <c r="AM94" i="3" s="1"/>
  <c r="T94" i="2" a="1"/>
  <c r="T94" i="2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/>
  <c r="AM90" i="3" s="1"/>
  <c r="T90" i="2" a="1"/>
  <c r="T90" i="2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/>
  <c r="AN88" i="3" s="1"/>
  <c r="V88" i="2" a="1"/>
  <c r="V88" i="2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/>
  <c r="AN86" i="3" s="1"/>
  <c r="V86" i="2" a="1"/>
  <c r="V86" i="2" s="1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/>
  <c r="AM84" i="3" s="1"/>
  <c r="T84" i="2" a="1"/>
  <c r="T84" i="2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/>
  <c r="AN82" i="3" s="1"/>
  <c r="V82" i="2" a="1"/>
  <c r="V82" i="2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/>
  <c r="AM78" i="3" s="1"/>
  <c r="T78" i="2" a="1"/>
  <c r="T78" i="2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/>
  <c r="AM74" i="3" s="1"/>
  <c r="T74" i="2" a="1"/>
  <c r="T74" i="2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/>
  <c r="AN72" i="3" s="1"/>
  <c r="V72" i="2" a="1"/>
  <c r="V72" i="2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/>
  <c r="AN70" i="3" s="1"/>
  <c r="V70" i="2" a="1"/>
  <c r="V70" i="2" s="1"/>
  <c r="AM70" i="3" s="1"/>
  <c r="T70" i="2" a="1"/>
  <c r="T70" i="2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/>
  <c r="AM68" i="3" s="1"/>
  <c r="T68" i="2" a="1"/>
  <c r="T68" i="2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/>
  <c r="AN66" i="3" s="1"/>
  <c r="V66" i="2" a="1"/>
  <c r="V66" i="2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/>
  <c r="AN62" i="3" s="1"/>
  <c r="V62" i="2" a="1"/>
  <c r="V62" i="2"/>
  <c r="AM62" i="3" s="1"/>
  <c r="T62" i="2" a="1"/>
  <c r="T62" i="2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/>
  <c r="AM58" i="3" s="1"/>
  <c r="T58" i="2" a="1"/>
  <c r="T58" i="2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/>
  <c r="AN56" i="3" s="1"/>
  <c r="V56" i="2" a="1"/>
  <c r="V56" i="2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/>
  <c r="AN54" i="3" s="1"/>
  <c r="V54" i="2" a="1"/>
  <c r="V54" i="2" s="1"/>
  <c r="AM54" i="3" s="1"/>
  <c r="T54" i="2" a="1"/>
  <c r="T54" i="2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/>
  <c r="AM52" i="3" s="1"/>
  <c r="T52" i="2" a="1"/>
  <c r="T52" i="2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/>
  <c r="AN50" i="3" s="1"/>
  <c r="V50" i="2" a="1"/>
  <c r="V50" i="2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/>
  <c r="AN46" i="3" s="1"/>
  <c r="V46" i="2" a="1"/>
  <c r="V46" i="2"/>
  <c r="AM46" i="3" s="1"/>
  <c r="T46" i="2" a="1"/>
  <c r="T46" i="2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/>
  <c r="AM42" i="3" s="1"/>
  <c r="T42" i="2" a="1"/>
  <c r="T42" i="2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/>
  <c r="AN38" i="3" s="1"/>
  <c r="V38" i="2" a="1"/>
  <c r="V38" i="2" s="1"/>
  <c r="AM38" i="3" s="1"/>
  <c r="T38" i="2" a="1"/>
  <c r="T38" i="2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/>
  <c r="AN34" i="3" s="1"/>
  <c r="V34" i="2" a="1"/>
  <c r="V34" i="2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/>
  <c r="AM30" i="3" s="1"/>
  <c r="T30" i="2" a="1"/>
  <c r="T30" i="2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/>
  <c r="AN22" i="3" s="1"/>
  <c r="V22" i="2" a="1"/>
  <c r="V22" i="2" s="1"/>
  <c r="AM22" i="3" s="1"/>
  <c r="T22" i="2" a="1"/>
  <c r="T22" i="2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/>
  <c r="AN14" i="3" s="1"/>
  <c r="V14" i="2" a="1"/>
  <c r="V14" i="2"/>
  <c r="AM14" i="3" s="1"/>
  <c r="T14" i="2" a="1"/>
  <c r="T14" i="2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/>
  <c r="AN12" i="3" s="1"/>
  <c r="V12" i="2" a="1"/>
  <c r="V12" i="2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 s="1"/>
  <c r="AM10" i="3" s="1"/>
  <c r="T10" i="2" a="1"/>
  <c r="T10" i="2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/>
  <c r="AN6" i="3" s="1"/>
  <c r="V6" i="2" a="1"/>
  <c r="V6" i="2" s="1"/>
  <c r="AM6" i="3" s="1"/>
  <c r="T6" i="2" a="1"/>
  <c r="T6" i="2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P8" i="6" l="1"/>
  <c r="H15" i="6"/>
  <c r="A22" i="6" s="1"/>
  <c r="H22" i="6" s="1"/>
  <c r="A29" i="6" s="1"/>
  <c r="H29" i="6" s="1"/>
  <c r="A36" i="6" s="1"/>
  <c r="H36" i="6" s="1"/>
  <c r="AL35" i="3"/>
  <c r="AJ35" i="3"/>
  <c r="AL51" i="3"/>
  <c r="AJ51" i="3"/>
  <c r="AL67" i="3"/>
  <c r="AJ67" i="3"/>
  <c r="AL83" i="3"/>
  <c r="AJ83" i="3"/>
  <c r="AJ99" i="3"/>
  <c r="AL99" i="3"/>
  <c r="AJ111" i="3"/>
  <c r="AL111" i="3"/>
  <c r="AL81" i="3"/>
  <c r="AJ81" i="3"/>
  <c r="AL97" i="3"/>
  <c r="AJ97" i="3"/>
  <c r="AL108" i="3"/>
  <c r="AJ108" i="3"/>
  <c r="AL109" i="3"/>
  <c r="AJ109" i="3"/>
  <c r="AL12" i="3"/>
  <c r="AJ12" i="3"/>
  <c r="AL15" i="3"/>
  <c r="AJ15" i="3"/>
  <c r="AL31" i="3"/>
  <c r="AJ31" i="3"/>
  <c r="AL47" i="3"/>
  <c r="AJ47" i="3"/>
  <c r="AL79" i="3"/>
  <c r="AJ79" i="3"/>
  <c r="AL95" i="3"/>
  <c r="AJ95" i="3"/>
  <c r="AL33" i="3"/>
  <c r="AJ33" i="3"/>
  <c r="AL49" i="3"/>
  <c r="AJ49" i="3"/>
  <c r="AJ11" i="3"/>
  <c r="AL11" i="3"/>
  <c r="AL27" i="3"/>
  <c r="AJ27" i="3"/>
  <c r="AL29" i="3"/>
  <c r="AJ29" i="3"/>
  <c r="AL45" i="3"/>
  <c r="AJ45" i="3"/>
  <c r="AL61" i="3"/>
  <c r="AJ61" i="3"/>
  <c r="AL77" i="3"/>
  <c r="AJ77" i="3"/>
  <c r="AL93" i="3"/>
  <c r="AJ93" i="3"/>
  <c r="AJ107" i="3"/>
  <c r="AL107" i="3"/>
  <c r="V3" i="3"/>
  <c r="X4" i="3" s="1"/>
  <c r="L138" i="2"/>
  <c r="V138" i="3" s="1"/>
  <c r="L130" i="2"/>
  <c r="V130" i="3" s="1"/>
  <c r="L122" i="2"/>
  <c r="V122" i="3" s="1"/>
  <c r="L137" i="2"/>
  <c r="V137" i="3" s="1"/>
  <c r="L129" i="2"/>
  <c r="V129" i="3" s="1"/>
  <c r="L121" i="2"/>
  <c r="V121" i="3" s="1"/>
  <c r="L136" i="2"/>
  <c r="V136" i="3" s="1"/>
  <c r="L128" i="2"/>
  <c r="V128" i="3" s="1"/>
  <c r="L120" i="2"/>
  <c r="V120" i="3" s="1"/>
  <c r="L135" i="2"/>
  <c r="V135" i="3" s="1"/>
  <c r="L127" i="2"/>
  <c r="V127" i="3" s="1"/>
  <c r="L119" i="2"/>
  <c r="V119" i="3" s="1"/>
  <c r="L142" i="2"/>
  <c r="V142" i="3" s="1"/>
  <c r="L134" i="2"/>
  <c r="V134" i="3" s="1"/>
  <c r="L126" i="2"/>
  <c r="V126" i="3" s="1"/>
  <c r="L141" i="2"/>
  <c r="V141" i="3" s="1"/>
  <c r="L133" i="2"/>
  <c r="V133" i="3" s="1"/>
  <c r="L125" i="2"/>
  <c r="V125" i="3" s="1"/>
  <c r="L117" i="2"/>
  <c r="V117" i="3" s="1"/>
  <c r="L140" i="2"/>
  <c r="V140" i="3" s="1"/>
  <c r="L132" i="2"/>
  <c r="V132" i="3" s="1"/>
  <c r="L124" i="2"/>
  <c r="V124" i="3" s="1"/>
  <c r="L139" i="2"/>
  <c r="V139" i="3" s="1"/>
  <c r="L131" i="2"/>
  <c r="V131" i="3" s="1"/>
  <c r="L116" i="2"/>
  <c r="V116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L10" i="2"/>
  <c r="V10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8" i="2"/>
  <c r="V18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M4" i="2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123" i="2"/>
  <c r="V123" i="3" s="1"/>
  <c r="L118" i="2"/>
  <c r="V118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15" i="2"/>
  <c r="V115" i="3" s="1"/>
  <c r="L114" i="2"/>
  <c r="V114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8" i="2"/>
  <c r="V8" i="3" s="1"/>
  <c r="AL65" i="3"/>
  <c r="AJ65" i="3"/>
  <c r="AL63" i="3"/>
  <c r="AJ63" i="3"/>
  <c r="AL9" i="3"/>
  <c r="AJ9" i="3"/>
  <c r="AL25" i="3"/>
  <c r="AJ25" i="3"/>
  <c r="AL43" i="3"/>
  <c r="AJ43" i="3"/>
  <c r="AL59" i="3"/>
  <c r="AJ59" i="3"/>
  <c r="AL75" i="3"/>
  <c r="AJ75" i="3"/>
  <c r="AL91" i="3"/>
  <c r="AJ91" i="3"/>
  <c r="AL104" i="3"/>
  <c r="AJ104" i="3"/>
  <c r="AL105" i="3"/>
  <c r="AJ105" i="3"/>
  <c r="AL17" i="3"/>
  <c r="AJ17" i="3"/>
  <c r="AL41" i="3"/>
  <c r="AJ41" i="3"/>
  <c r="AL57" i="3"/>
  <c r="AJ57" i="3"/>
  <c r="AL73" i="3"/>
  <c r="AJ73" i="3"/>
  <c r="AL89" i="3"/>
  <c r="AJ89" i="3"/>
  <c r="AJ7" i="3"/>
  <c r="AL7" i="3"/>
  <c r="AL20" i="3"/>
  <c r="AJ20" i="3"/>
  <c r="AL23" i="3"/>
  <c r="AJ23" i="3"/>
  <c r="AL39" i="3"/>
  <c r="AJ39" i="3"/>
  <c r="AL55" i="3"/>
  <c r="AJ55" i="3"/>
  <c r="AL71" i="3"/>
  <c r="AJ71" i="3"/>
  <c r="AL87" i="3"/>
  <c r="AJ87" i="3"/>
  <c r="AJ103" i="3"/>
  <c r="AL103" i="3"/>
  <c r="AL19" i="3"/>
  <c r="AJ19" i="3"/>
  <c r="AL37" i="3"/>
  <c r="AJ37" i="3"/>
  <c r="AJ53" i="3"/>
  <c r="AL53" i="3"/>
  <c r="AL69" i="3"/>
  <c r="AJ69" i="3"/>
  <c r="AL85" i="3"/>
  <c r="AJ85" i="3"/>
  <c r="AL101" i="3"/>
  <c r="AJ101" i="3"/>
  <c r="AL8" i="3"/>
  <c r="AJ8" i="3"/>
  <c r="AJ119" i="3"/>
  <c r="AL119" i="3"/>
  <c r="AL130" i="3"/>
  <c r="AJ130" i="3"/>
  <c r="AL133" i="3"/>
  <c r="AJ133" i="3"/>
  <c r="AL143" i="3"/>
  <c r="AJ143" i="3"/>
  <c r="AL26" i="3"/>
  <c r="AJ26" i="3"/>
  <c r="AL34" i="3"/>
  <c r="AJ34" i="3"/>
  <c r="AL42" i="3"/>
  <c r="AJ42" i="3"/>
  <c r="AL50" i="3"/>
  <c r="AJ50" i="3"/>
  <c r="AL58" i="3"/>
  <c r="AJ58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21" i="3"/>
  <c r="AJ121" i="3"/>
  <c r="AL122" i="3"/>
  <c r="AJ122" i="3"/>
  <c r="AL129" i="3"/>
  <c r="AJ129" i="3"/>
  <c r="AJ123" i="3"/>
  <c r="AL123" i="3"/>
  <c r="AJ127" i="3"/>
  <c r="AL127" i="3"/>
  <c r="AL146" i="3"/>
  <c r="AJ146" i="3"/>
  <c r="AL28" i="3"/>
  <c r="AJ28" i="3"/>
  <c r="AL36" i="3"/>
  <c r="AJ36" i="3"/>
  <c r="AL44" i="3"/>
  <c r="AJ44" i="3"/>
  <c r="AL52" i="3"/>
  <c r="AJ52" i="3"/>
  <c r="AL60" i="3"/>
  <c r="AJ60" i="3"/>
  <c r="AL68" i="3"/>
  <c r="AJ68" i="3"/>
  <c r="AJ76" i="3"/>
  <c r="AL76" i="3"/>
  <c r="AJ84" i="3"/>
  <c r="AL84" i="3"/>
  <c r="AL92" i="3"/>
  <c r="AJ92" i="3"/>
  <c r="AL100" i="3"/>
  <c r="AJ100" i="3"/>
  <c r="AL117" i="3"/>
  <c r="AJ117" i="3"/>
  <c r="AL141" i="3"/>
  <c r="AJ141" i="3"/>
  <c r="AL18" i="3"/>
  <c r="AJ18" i="3"/>
  <c r="AL13" i="3"/>
  <c r="AJ13" i="3"/>
  <c r="AJ21" i="3"/>
  <c r="AL21" i="3"/>
  <c r="AL125" i="3"/>
  <c r="AJ125" i="3"/>
  <c r="AL138" i="3"/>
  <c r="AJ138" i="3"/>
  <c r="AL10" i="3"/>
  <c r="AJ10" i="3"/>
  <c r="AL6" i="3"/>
  <c r="AJ6" i="3"/>
  <c r="AL14" i="3"/>
  <c r="AJ14" i="3"/>
  <c r="AL22" i="3"/>
  <c r="AJ22" i="3"/>
  <c r="AL30" i="3"/>
  <c r="AJ30" i="3"/>
  <c r="AL38" i="3"/>
  <c r="AJ38" i="3"/>
  <c r="AL46" i="3"/>
  <c r="AJ46" i="3"/>
  <c r="AL54" i="3"/>
  <c r="AJ54" i="3"/>
  <c r="AL62" i="3"/>
  <c r="AJ62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6" i="3"/>
  <c r="AJ116" i="3"/>
  <c r="AL118" i="3"/>
  <c r="AJ118" i="3"/>
  <c r="AL137" i="3"/>
  <c r="AJ137" i="3"/>
  <c r="AL135" i="3"/>
  <c r="AJ135" i="3"/>
  <c r="AL145" i="3"/>
  <c r="AJ145" i="3"/>
  <c r="AL16" i="3"/>
  <c r="AJ16" i="3"/>
  <c r="AL24" i="3"/>
  <c r="AJ24" i="3"/>
  <c r="AJ32" i="3"/>
  <c r="AL32" i="3"/>
  <c r="AL40" i="3"/>
  <c r="AJ40" i="3"/>
  <c r="AL48" i="3"/>
  <c r="AJ48" i="3"/>
  <c r="AL56" i="3"/>
  <c r="AJ56" i="3"/>
  <c r="AJ64" i="3"/>
  <c r="AL64" i="3"/>
  <c r="AL72" i="3"/>
  <c r="AJ72" i="3"/>
  <c r="AJ80" i="3"/>
  <c r="AL80" i="3"/>
  <c r="AJ88" i="3"/>
  <c r="AL88" i="3"/>
  <c r="AL96" i="3"/>
  <c r="AJ96" i="3"/>
  <c r="AL112" i="3"/>
  <c r="AJ112" i="3"/>
  <c r="AL113" i="3"/>
  <c r="AJ113" i="3"/>
  <c r="AJ114" i="3"/>
  <c r="AL114" i="3"/>
  <c r="AJ115" i="3"/>
  <c r="AL115" i="3"/>
  <c r="AL131" i="3"/>
  <c r="AJ131" i="3"/>
  <c r="AJ139" i="3"/>
  <c r="AL139" i="3"/>
  <c r="AL124" i="3"/>
  <c r="AJ124" i="3"/>
  <c r="AL132" i="3"/>
  <c r="AJ132" i="3"/>
  <c r="AL140" i="3"/>
  <c r="AJ140" i="3"/>
  <c r="AL126" i="3"/>
  <c r="AJ126" i="3"/>
  <c r="AL134" i="3"/>
  <c r="AJ134" i="3"/>
  <c r="AL142" i="3"/>
  <c r="AJ142" i="3"/>
  <c r="AL120" i="3"/>
  <c r="AJ120" i="3"/>
  <c r="AL128" i="3"/>
  <c r="AJ128" i="3"/>
  <c r="AJ136" i="3"/>
  <c r="AL136" i="3"/>
  <c r="A140" i="2"/>
  <c r="AL144" i="3"/>
  <c r="AJ147" i="3"/>
  <c r="AL147" i="3"/>
  <c r="W8" i="6" l="1"/>
  <c r="A140" i="3"/>
  <c r="A142" i="2"/>
  <c r="M3" i="2" a="1"/>
  <c r="P15" i="6" l="1"/>
  <c r="M3" i="2"/>
  <c r="A142" i="3"/>
  <c r="A144" i="2"/>
  <c r="A144" i="3" s="1"/>
  <c r="W15" i="6" l="1"/>
  <c r="P22" i="6"/>
  <c r="M137" i="2"/>
  <c r="X137" i="3" s="1"/>
  <c r="M129" i="2"/>
  <c r="X129" i="3" s="1"/>
  <c r="M121" i="2"/>
  <c r="X121" i="3" s="1"/>
  <c r="M136" i="2"/>
  <c r="X136" i="3" s="1"/>
  <c r="M128" i="2"/>
  <c r="X128" i="3" s="1"/>
  <c r="M120" i="2"/>
  <c r="X120" i="3" s="1"/>
  <c r="M135" i="2"/>
  <c r="X135" i="3" s="1"/>
  <c r="M127" i="2"/>
  <c r="X127" i="3" s="1"/>
  <c r="M142" i="2"/>
  <c r="X142" i="3" s="1"/>
  <c r="M134" i="2"/>
  <c r="X134" i="3" s="1"/>
  <c r="M126" i="2"/>
  <c r="X126" i="3" s="1"/>
  <c r="M118" i="2"/>
  <c r="X118" i="3" s="1"/>
  <c r="M141" i="2"/>
  <c r="X141" i="3" s="1"/>
  <c r="M133" i="2"/>
  <c r="X133" i="3" s="1"/>
  <c r="M125" i="2"/>
  <c r="X125" i="3" s="1"/>
  <c r="M140" i="2"/>
  <c r="X140" i="3" s="1"/>
  <c r="M132" i="2"/>
  <c r="X132" i="3" s="1"/>
  <c r="M124" i="2"/>
  <c r="X124" i="3" s="1"/>
  <c r="M116" i="2"/>
  <c r="X116" i="3" s="1"/>
  <c r="M139" i="2"/>
  <c r="X139" i="3" s="1"/>
  <c r="M131" i="2"/>
  <c r="X131" i="3" s="1"/>
  <c r="M123" i="2"/>
  <c r="X123" i="3" s="1"/>
  <c r="X3" i="3"/>
  <c r="M138" i="2"/>
  <c r="X138" i="3" s="1"/>
  <c r="M130" i="2"/>
  <c r="X130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N4" i="2"/>
  <c r="M117" i="2"/>
  <c r="X117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7" i="2"/>
  <c r="X17" i="3" s="1"/>
  <c r="M119" i="2"/>
  <c r="X119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115" i="2"/>
  <c r="X115" i="3" s="1"/>
  <c r="M114" i="2"/>
  <c r="X114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22" i="2"/>
  <c r="X122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7" i="2"/>
  <c r="X7" i="3" s="1"/>
  <c r="M9" i="2"/>
  <c r="X9" i="3" s="1"/>
  <c r="W22" i="6" l="1"/>
  <c r="N3" i="2" a="1"/>
  <c r="N3" i="2" s="1"/>
  <c r="Z4" i="3"/>
  <c r="P29" i="6" l="1"/>
  <c r="N136" i="2"/>
  <c r="Z136" i="3" s="1"/>
  <c r="N128" i="2"/>
  <c r="Z128" i="3" s="1"/>
  <c r="N120" i="2"/>
  <c r="Z120" i="3" s="1"/>
  <c r="N135" i="2"/>
  <c r="Z135" i="3" s="1"/>
  <c r="N127" i="2"/>
  <c r="Z127" i="3" s="1"/>
  <c r="N119" i="2"/>
  <c r="Z119" i="3" s="1"/>
  <c r="N142" i="2"/>
  <c r="Z142" i="3" s="1"/>
  <c r="N134" i="2"/>
  <c r="Z134" i="3" s="1"/>
  <c r="N126" i="2"/>
  <c r="Z126" i="3" s="1"/>
  <c r="N141" i="2"/>
  <c r="Z141" i="3" s="1"/>
  <c r="N133" i="2"/>
  <c r="Z133" i="3" s="1"/>
  <c r="N125" i="2"/>
  <c r="Z125" i="3" s="1"/>
  <c r="N117" i="2"/>
  <c r="Z117" i="3" s="1"/>
  <c r="N140" i="2"/>
  <c r="Z140" i="3" s="1"/>
  <c r="N132" i="2"/>
  <c r="Z132" i="3" s="1"/>
  <c r="N124" i="2"/>
  <c r="Z124" i="3" s="1"/>
  <c r="N139" i="2"/>
  <c r="Z139" i="3" s="1"/>
  <c r="N131" i="2"/>
  <c r="Z131" i="3" s="1"/>
  <c r="N123" i="2"/>
  <c r="Z123" i="3" s="1"/>
  <c r="Z3" i="3"/>
  <c r="AB4" i="3" s="1"/>
  <c r="N138" i="2"/>
  <c r="Z138" i="3" s="1"/>
  <c r="N130" i="2"/>
  <c r="Z130" i="3" s="1"/>
  <c r="N122" i="2"/>
  <c r="Z122" i="3" s="1"/>
  <c r="N137" i="2"/>
  <c r="Z137" i="3" s="1"/>
  <c r="N129" i="2"/>
  <c r="Z129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O4" i="2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8" i="2"/>
  <c r="Z8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16" i="2"/>
  <c r="Z16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18" i="2"/>
  <c r="Z118" i="3" s="1"/>
  <c r="N115" i="2"/>
  <c r="Z115" i="3" s="1"/>
  <c r="N114" i="2"/>
  <c r="Z114" i="3" s="1"/>
  <c r="N113" i="2"/>
  <c r="Z113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24" i="2"/>
  <c r="Z24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121" i="2"/>
  <c r="Z121" i="3" s="1"/>
  <c r="N116" i="2"/>
  <c r="Z116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6" i="2"/>
  <c r="Z6" i="3" s="1"/>
  <c r="W29" i="6" l="1"/>
  <c r="O3" i="2" a="1"/>
  <c r="O3" i="2" s="1"/>
  <c r="P36" i="6" l="1"/>
  <c r="AB3" i="3"/>
  <c r="AD4" i="3" s="1"/>
  <c r="O135" i="2"/>
  <c r="AB135" i="3" s="1"/>
  <c r="O127" i="2"/>
  <c r="AB127" i="3" s="1"/>
  <c r="O119" i="2"/>
  <c r="AB119" i="3" s="1"/>
  <c r="O142" i="2"/>
  <c r="AB142" i="3" s="1"/>
  <c r="O134" i="2"/>
  <c r="AB134" i="3" s="1"/>
  <c r="O126" i="2"/>
  <c r="AB126" i="3" s="1"/>
  <c r="O118" i="2"/>
  <c r="AB118" i="3" s="1"/>
  <c r="O141" i="2"/>
  <c r="AB141" i="3" s="1"/>
  <c r="O133" i="2"/>
  <c r="AB133" i="3" s="1"/>
  <c r="O125" i="2"/>
  <c r="AB125" i="3" s="1"/>
  <c r="O140" i="2"/>
  <c r="AB140" i="3" s="1"/>
  <c r="O132" i="2"/>
  <c r="AB132" i="3" s="1"/>
  <c r="O124" i="2"/>
  <c r="AB124" i="3" s="1"/>
  <c r="O116" i="2"/>
  <c r="AB116" i="3" s="1"/>
  <c r="O139" i="2"/>
  <c r="AB139" i="3" s="1"/>
  <c r="O131" i="2"/>
  <c r="AB131" i="3" s="1"/>
  <c r="O123" i="2"/>
  <c r="AB123" i="3" s="1"/>
  <c r="O138" i="2"/>
  <c r="AB138" i="3" s="1"/>
  <c r="O130" i="2"/>
  <c r="AB130" i="3" s="1"/>
  <c r="O122" i="2"/>
  <c r="AB122" i="3" s="1"/>
  <c r="O137" i="2"/>
  <c r="AB137" i="3" s="1"/>
  <c r="O129" i="2"/>
  <c r="AB129" i="3" s="1"/>
  <c r="O121" i="2"/>
  <c r="AB121" i="3" s="1"/>
  <c r="O136" i="2"/>
  <c r="AB136" i="3" s="1"/>
  <c r="O128" i="2"/>
  <c r="AB128" i="3" s="1"/>
  <c r="O120" i="2"/>
  <c r="AB120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7" i="2"/>
  <c r="AB7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P4" i="2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15" i="2"/>
  <c r="AB115" i="3" s="1"/>
  <c r="O114" i="2"/>
  <c r="AB114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O112" i="2"/>
  <c r="AB112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23" i="2"/>
  <c r="AB23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15" i="2"/>
  <c r="AB15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W36" i="6" l="1"/>
  <c r="P3" i="2" a="1"/>
  <c r="P3" i="2" s="1"/>
  <c r="AE1" i="6" l="1"/>
  <c r="AE8" i="6" s="1"/>
  <c r="P142" i="2"/>
  <c r="AD142" i="3" s="1"/>
  <c r="P134" i="2"/>
  <c r="AD134" i="3" s="1"/>
  <c r="P126" i="2"/>
  <c r="AD126" i="3" s="1"/>
  <c r="P118" i="2"/>
  <c r="AD118" i="3" s="1"/>
  <c r="P141" i="2"/>
  <c r="AD141" i="3" s="1"/>
  <c r="P133" i="2"/>
  <c r="AD133" i="3" s="1"/>
  <c r="P125" i="2"/>
  <c r="AD125" i="3" s="1"/>
  <c r="P117" i="2"/>
  <c r="AD117" i="3" s="1"/>
  <c r="P140" i="2"/>
  <c r="AD140" i="3" s="1"/>
  <c r="P132" i="2"/>
  <c r="AD132" i="3" s="1"/>
  <c r="P124" i="2"/>
  <c r="AD124" i="3" s="1"/>
  <c r="P139" i="2"/>
  <c r="AD139" i="3" s="1"/>
  <c r="P131" i="2"/>
  <c r="AD131" i="3" s="1"/>
  <c r="P123" i="2"/>
  <c r="AD123" i="3" s="1"/>
  <c r="P115" i="2"/>
  <c r="AD115" i="3" s="1"/>
  <c r="P138" i="2"/>
  <c r="AD138" i="3" s="1"/>
  <c r="P130" i="2"/>
  <c r="AD130" i="3" s="1"/>
  <c r="P122" i="2"/>
  <c r="AD122" i="3" s="1"/>
  <c r="AD3" i="3"/>
  <c r="AF4" i="3" s="1"/>
  <c r="P137" i="2"/>
  <c r="AD137" i="3" s="1"/>
  <c r="P129" i="2"/>
  <c r="AD129" i="3" s="1"/>
  <c r="P121" i="2"/>
  <c r="AD121" i="3" s="1"/>
  <c r="P136" i="2"/>
  <c r="AD136" i="3" s="1"/>
  <c r="P128" i="2"/>
  <c r="AD128" i="3" s="1"/>
  <c r="P120" i="2"/>
  <c r="AD120" i="3" s="1"/>
  <c r="P135" i="2"/>
  <c r="AD135" i="3" s="1"/>
  <c r="P127" i="2"/>
  <c r="AD127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9" i="2"/>
  <c r="AD9" i="3" s="1"/>
  <c r="P119" i="2"/>
  <c r="AD119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114" i="2"/>
  <c r="AD114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11" i="2"/>
  <c r="AD111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22" i="2"/>
  <c r="AD22" i="3" s="1"/>
  <c r="P116" i="2"/>
  <c r="AD116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6" i="2"/>
  <c r="AD6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Q4" i="2"/>
  <c r="P14" i="2"/>
  <c r="AD14" i="3" s="1"/>
  <c r="AE15" i="6" l="1"/>
  <c r="AL8" i="6"/>
  <c r="Q3" i="2" a="1"/>
  <c r="Q3" i="2" s="1"/>
  <c r="AL15" i="6" l="1"/>
  <c r="Q141" i="2"/>
  <c r="AF141" i="3" s="1"/>
  <c r="Q133" i="2"/>
  <c r="AF133" i="3" s="1"/>
  <c r="Q125" i="2"/>
  <c r="AF125" i="3" s="1"/>
  <c r="Q140" i="2"/>
  <c r="AF140" i="3" s="1"/>
  <c r="Q132" i="2"/>
  <c r="AF132" i="3" s="1"/>
  <c r="Q124" i="2"/>
  <c r="AF124" i="3" s="1"/>
  <c r="Q139" i="2"/>
  <c r="AF139" i="3" s="1"/>
  <c r="Q131" i="2"/>
  <c r="AF131" i="3" s="1"/>
  <c r="Q123" i="2"/>
  <c r="AF123" i="3" s="1"/>
  <c r="Q138" i="2"/>
  <c r="AF138" i="3" s="1"/>
  <c r="Q130" i="2"/>
  <c r="AF130" i="3" s="1"/>
  <c r="Q122" i="2"/>
  <c r="AF122" i="3" s="1"/>
  <c r="Q114" i="2"/>
  <c r="AF114" i="3" s="1"/>
  <c r="AF3" i="3"/>
  <c r="AH4" i="3" s="1"/>
  <c r="Q137" i="2"/>
  <c r="AF137" i="3" s="1"/>
  <c r="Q129" i="2"/>
  <c r="AF129" i="3" s="1"/>
  <c r="Q121" i="2"/>
  <c r="AF121" i="3" s="1"/>
  <c r="Q136" i="2"/>
  <c r="AF136" i="3" s="1"/>
  <c r="Q128" i="2"/>
  <c r="AF128" i="3" s="1"/>
  <c r="Q120" i="2"/>
  <c r="AF120" i="3" s="1"/>
  <c r="Q135" i="2"/>
  <c r="AF135" i="3" s="1"/>
  <c r="Q127" i="2"/>
  <c r="AF127" i="3" s="1"/>
  <c r="Q119" i="2"/>
  <c r="AF119" i="3" s="1"/>
  <c r="Q142" i="2"/>
  <c r="AF142" i="3" s="1"/>
  <c r="Q134" i="2"/>
  <c r="AF134" i="3" s="1"/>
  <c r="Q126" i="2"/>
  <c r="AF126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Q13" i="2"/>
  <c r="AF13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8" i="2"/>
  <c r="AF8" i="3" s="1"/>
  <c r="Q115" i="2"/>
  <c r="AF115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118" i="2"/>
  <c r="AF118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16" i="2"/>
  <c r="AF116" i="3" s="1"/>
  <c r="Q110" i="2"/>
  <c r="AF110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21" i="2"/>
  <c r="AF21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117" i="2"/>
  <c r="AF117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R4" i="2"/>
  <c r="AE22" i="6" l="1"/>
  <c r="R3" i="2" a="1"/>
  <c r="R3" i="2" s="1"/>
  <c r="AL22" i="6" l="1"/>
  <c r="R140" i="2"/>
  <c r="AH140" i="3" s="1"/>
  <c r="R132" i="2"/>
  <c r="AH132" i="3" s="1"/>
  <c r="R124" i="2"/>
  <c r="AH124" i="3" s="1"/>
  <c r="R139" i="2"/>
  <c r="AH139" i="3" s="1"/>
  <c r="R131" i="2"/>
  <c r="AH131" i="3" s="1"/>
  <c r="R123" i="2"/>
  <c r="AH123" i="3" s="1"/>
  <c r="R138" i="2"/>
  <c r="AH138" i="3" s="1"/>
  <c r="R130" i="2"/>
  <c r="AH130" i="3" s="1"/>
  <c r="R122" i="2"/>
  <c r="AH122" i="3" s="1"/>
  <c r="AH3" i="3"/>
  <c r="AJ4" i="3" s="1"/>
  <c r="R137" i="2"/>
  <c r="AH137" i="3" s="1"/>
  <c r="R129" i="2"/>
  <c r="AH129" i="3" s="1"/>
  <c r="R121" i="2"/>
  <c r="AH121" i="3" s="1"/>
  <c r="R113" i="2"/>
  <c r="AH113" i="3" s="1"/>
  <c r="R136" i="2"/>
  <c r="AH136" i="3" s="1"/>
  <c r="R128" i="2"/>
  <c r="AH128" i="3" s="1"/>
  <c r="R120" i="2"/>
  <c r="AH120" i="3" s="1"/>
  <c r="R135" i="2"/>
  <c r="AH135" i="3" s="1"/>
  <c r="R127" i="2"/>
  <c r="AH127" i="3" s="1"/>
  <c r="R119" i="2"/>
  <c r="AH119" i="3" s="1"/>
  <c r="R142" i="2"/>
  <c r="AH142" i="3" s="1"/>
  <c r="R134" i="2"/>
  <c r="AH134" i="3" s="1"/>
  <c r="R126" i="2"/>
  <c r="AH126" i="3" s="1"/>
  <c r="R141" i="2"/>
  <c r="AH141" i="3" s="1"/>
  <c r="R133" i="2"/>
  <c r="AH133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7" i="2"/>
  <c r="AH7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115" i="2"/>
  <c r="AH115" i="3" s="1"/>
  <c r="R114" i="2"/>
  <c r="AH114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118" i="2"/>
  <c r="AH118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S4" i="2"/>
  <c r="S3" i="2" s="1" a="1"/>
  <c r="S3" i="2" s="1"/>
  <c r="R125" i="2"/>
  <c r="AH125" i="3" s="1"/>
  <c r="R116" i="2"/>
  <c r="AH116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09" i="2"/>
  <c r="AH109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20" i="2"/>
  <c r="AH20" i="3" s="1"/>
  <c r="R117" i="2"/>
  <c r="AH117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12" i="2"/>
  <c r="AH12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R10" i="2"/>
  <c r="AH10" i="3" s="1"/>
  <c r="AE29" i="6" l="1"/>
  <c r="S139" i="2"/>
  <c r="S131" i="2"/>
  <c r="S123" i="2"/>
  <c r="S138" i="2"/>
  <c r="S130" i="2"/>
  <c r="S122" i="2"/>
  <c r="AJ3" i="3"/>
  <c r="S137" i="2"/>
  <c r="S129" i="2"/>
  <c r="S121" i="2"/>
  <c r="S136" i="2"/>
  <c r="S128" i="2"/>
  <c r="S120" i="2"/>
  <c r="S135" i="2"/>
  <c r="S127" i="2"/>
  <c r="S142" i="2"/>
  <c r="S134" i="2"/>
  <c r="S126" i="2"/>
  <c r="S118" i="2"/>
  <c r="S141" i="2"/>
  <c r="S133" i="2"/>
  <c r="S125" i="2"/>
  <c r="S140" i="2"/>
  <c r="S132" i="2"/>
  <c r="S119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115" i="2"/>
  <c r="S114" i="2"/>
  <c r="S113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7" i="2"/>
  <c r="S11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19" i="2"/>
  <c r="S116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6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17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S124" i="2"/>
  <c r="S107" i="2"/>
  <c r="S99" i="2"/>
  <c r="S91" i="2"/>
  <c r="S83" i="2"/>
  <c r="S75" i="2"/>
  <c r="S67" i="2"/>
  <c r="S59" i="2"/>
  <c r="S51" i="2"/>
  <c r="S43" i="2"/>
  <c r="S35" i="2"/>
  <c r="S27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B1" i="4" a="1"/>
  <c r="AL29" i="6" l="1"/>
  <c r="B1" i="4"/>
  <c r="G1" i="4" a="1"/>
  <c r="AE36" i="6" l="1"/>
  <c r="G1" i="4"/>
  <c r="AL36" i="6" l="1"/>
  <c r="H1" i="4" a="1"/>
  <c r="H1" i="4" s="1"/>
  <c r="B3" i="4" a="1"/>
  <c r="B43" i="4" a="1"/>
  <c r="I1" i="4" a="1"/>
  <c r="C2" i="4" a="1"/>
  <c r="AT1" i="6" l="1"/>
  <c r="AT8" i="6" s="1"/>
  <c r="C2" i="4"/>
  <c r="I1" i="4"/>
  <c r="B43" i="4"/>
  <c r="B3" i="4"/>
  <c r="N1" i="4" a="1"/>
  <c r="BA8" i="6" l="1"/>
  <c r="N1" i="4"/>
  <c r="F6" i="4"/>
  <c r="E3" i="4"/>
  <c r="D6" i="4"/>
  <c r="C3" i="4"/>
  <c r="C6" i="4"/>
  <c r="B6" i="4"/>
  <c r="C1" i="4"/>
  <c r="BZ1" i="4"/>
  <c r="C4" i="4" a="1"/>
  <c r="C44" i="4" a="1"/>
  <c r="F2" i="4" a="1"/>
  <c r="AT15" i="6" l="1"/>
  <c r="F2" i="4"/>
  <c r="C44" i="4"/>
  <c r="C4" i="4"/>
  <c r="CE1" i="4"/>
  <c r="BY1" i="4"/>
  <c r="A8" i="4" a="1"/>
  <c r="A8" i="4" s="1"/>
  <c r="F7" i="4"/>
  <c r="B8" i="4" a="1"/>
  <c r="BZ2" i="4" a="1"/>
  <c r="J2" i="4" a="1"/>
  <c r="I3" i="4" a="1"/>
  <c r="I43" i="4" a="1"/>
  <c r="D7" i="4" l="1"/>
  <c r="B7" i="4"/>
  <c r="BA15" i="6"/>
  <c r="I43" i="4"/>
  <c r="CH1" i="4"/>
  <c r="I3" i="4"/>
  <c r="J2" i="4"/>
  <c r="BZ2" i="4"/>
  <c r="B8" i="4"/>
  <c r="G2" i="4"/>
  <c r="CB1" i="4"/>
  <c r="CC1" i="4"/>
  <c r="E2" i="4"/>
  <c r="B2" i="4" a="1"/>
  <c r="F44" i="4" a="1"/>
  <c r="G8" i="4" a="1"/>
  <c r="C46" i="4" a="1"/>
  <c r="AT22" i="6" l="1"/>
  <c r="C46" i="4"/>
  <c r="G8" i="4"/>
  <c r="F44" i="4"/>
  <c r="B2" i="4"/>
  <c r="CA1" i="4"/>
  <c r="M6" i="4"/>
  <c r="L3" i="4"/>
  <c r="K6" i="4"/>
  <c r="J3" i="4"/>
  <c r="J6" i="4"/>
  <c r="CE3" i="4" s="1"/>
  <c r="J1" i="4"/>
  <c r="I6" i="4"/>
  <c r="BZ3" i="4"/>
  <c r="CF1" i="4"/>
  <c r="CG1" i="4"/>
  <c r="CC2" i="4" a="1"/>
  <c r="J4" i="4" a="1"/>
  <c r="CB2" i="4" a="1"/>
  <c r="E4" i="4" a="1"/>
  <c r="M2" i="4" a="1"/>
  <c r="J44" i="4" a="1"/>
  <c r="BA22" i="6" l="1"/>
  <c r="J44" i="4"/>
  <c r="M2" i="4"/>
  <c r="E4" i="4"/>
  <c r="CB2" i="4"/>
  <c r="J4" i="4"/>
  <c r="CC2" i="4"/>
  <c r="BY3" i="4"/>
  <c r="G44" i="4"/>
  <c r="H8" i="4" a="1"/>
  <c r="H8" i="4" s="1"/>
  <c r="C48" i="4"/>
  <c r="B48" i="4"/>
  <c r="C43" i="4"/>
  <c r="E45" i="4"/>
  <c r="C45" i="4"/>
  <c r="F48" i="4"/>
  <c r="D48" i="4"/>
  <c r="BZ4" i="4" a="1"/>
  <c r="B44" i="4" a="1"/>
  <c r="I8" i="4" a="1"/>
  <c r="BY2" i="4" a="1"/>
  <c r="C9" i="4" a="1"/>
  <c r="B50" i="4" a="1"/>
  <c r="B10" i="4" a="1"/>
  <c r="M7" i="4"/>
  <c r="CE2" i="4" a="1"/>
  <c r="AT29" i="6" l="1"/>
  <c r="CE2" i="4"/>
  <c r="CH3" i="4"/>
  <c r="B10" i="4"/>
  <c r="B50" i="4"/>
  <c r="C9" i="4"/>
  <c r="BY2" i="4"/>
  <c r="I8" i="4"/>
  <c r="B44" i="4"/>
  <c r="BZ4" i="4"/>
  <c r="D49" i="4"/>
  <c r="I7" i="4"/>
  <c r="CF3" i="4" s="1"/>
  <c r="K7" i="4"/>
  <c r="CG3" i="4" s="1"/>
  <c r="CC3" i="4"/>
  <c r="CD1" i="4"/>
  <c r="N2" i="4"/>
  <c r="CB3" i="4"/>
  <c r="B49" i="4"/>
  <c r="M44" i="4" a="1"/>
  <c r="M44" i="4" s="1"/>
  <c r="J46" i="4" a="1"/>
  <c r="J46" i="4" s="1"/>
  <c r="BZ5" i="4" a="1"/>
  <c r="CG2" i="4" a="1"/>
  <c r="CF2" i="4" a="1"/>
  <c r="E44" i="4"/>
  <c r="CA2" i="4" s="1" a="1"/>
  <c r="F49" i="4" a="1"/>
  <c r="L2" i="4"/>
  <c r="I2" i="4" a="1"/>
  <c r="E46" i="4" a="1"/>
  <c r="CC4" i="4" a="1"/>
  <c r="N8" i="4" a="1"/>
  <c r="CB4" i="4" a="1"/>
  <c r="BA29" i="6" l="1"/>
  <c r="CJ1" i="4" a="1"/>
  <c r="CJ1" i="4" s="1"/>
  <c r="CI1" i="4" s="1"/>
  <c r="CB4" i="4"/>
  <c r="N8" i="4"/>
  <c r="CC4" i="4"/>
  <c r="E46" i="4"/>
  <c r="I2" i="4"/>
  <c r="CA3" i="4"/>
  <c r="F49" i="4"/>
  <c r="CA2" i="4"/>
  <c r="CF2" i="4"/>
  <c r="CG2" i="4"/>
  <c r="BZ5" i="4"/>
  <c r="N44" i="4"/>
  <c r="M48" i="4"/>
  <c r="L45" i="4"/>
  <c r="K48" i="4"/>
  <c r="J45" i="4"/>
  <c r="J48" i="4"/>
  <c r="I49" i="4"/>
  <c r="I48" i="4"/>
  <c r="J43" i="4"/>
  <c r="I44" i="4" a="1"/>
  <c r="I44" i="4" s="1"/>
  <c r="C13" i="4"/>
  <c r="B13" i="4"/>
  <c r="C8" i="4"/>
  <c r="F13" i="4"/>
  <c r="E10" i="4"/>
  <c r="D13" i="4"/>
  <c r="C10" i="4"/>
  <c r="CE5" i="4" a="1"/>
  <c r="CE4" i="4" a="1"/>
  <c r="CD2" i="4" a="1"/>
  <c r="CF4" i="4" a="1"/>
  <c r="C11" i="4" a="1"/>
  <c r="L4" i="4" a="1"/>
  <c r="C51" i="4" a="1"/>
  <c r="BY5" i="4" a="1"/>
  <c r="BY4" i="4" a="1"/>
  <c r="F9" i="4" a="1"/>
  <c r="CH2" i="4" a="1"/>
  <c r="L46" i="4" a="1"/>
  <c r="AT36" i="6" l="1"/>
  <c r="L46" i="4"/>
  <c r="CH2" i="4"/>
  <c r="F9" i="4"/>
  <c r="BY4" i="4"/>
  <c r="BY5" i="4"/>
  <c r="C51" i="4"/>
  <c r="L4" i="4"/>
  <c r="CD3" i="4" s="1"/>
  <c r="CJ3" i="4" s="1" a="1"/>
  <c r="CJ3" i="4" s="1"/>
  <c r="CI3" i="4" s="1"/>
  <c r="C11" i="4"/>
  <c r="CF4" i="4"/>
  <c r="CD2" i="4"/>
  <c r="CJ2" i="4" s="1" a="1"/>
  <c r="CJ2" i="4" s="1"/>
  <c r="CI2" i="4" s="1"/>
  <c r="CE4" i="4"/>
  <c r="CE5" i="4"/>
  <c r="M49" i="4" a="1"/>
  <c r="M49" i="4" s="1"/>
  <c r="L44" i="4"/>
  <c r="K49" i="4"/>
  <c r="A15" i="4" a="1"/>
  <c r="A15" i="4" s="1"/>
  <c r="CD4" i="4" a="1"/>
  <c r="I10" i="4" a="1"/>
  <c r="B15" i="4" a="1"/>
  <c r="CB5" i="4" a="1"/>
  <c r="J9" i="4" a="1"/>
  <c r="CH4" i="4" a="1"/>
  <c r="BZ6" i="4" a="1"/>
  <c r="F14" i="4"/>
  <c r="CH5" i="4" s="1" a="1"/>
  <c r="CA4" i="4" a="1"/>
  <c r="CC5" i="4" a="1"/>
  <c r="CG4" i="4" a="1"/>
  <c r="I50" i="4" a="1"/>
  <c r="BA36" i="6" l="1"/>
  <c r="I50" i="4"/>
  <c r="CG4" i="4"/>
  <c r="CC5" i="4"/>
  <c r="CA4" i="4"/>
  <c r="CH5" i="4"/>
  <c r="BZ6" i="4"/>
  <c r="CH4" i="4"/>
  <c r="J9" i="4"/>
  <c r="CB5" i="4"/>
  <c r="B15" i="4"/>
  <c r="I10" i="4"/>
  <c r="CD4" i="4"/>
  <c r="D14" i="4"/>
  <c r="B14" i="4"/>
  <c r="F51" i="4" a="1"/>
  <c r="F51" i="4" s="1"/>
  <c r="C53" i="4" a="1"/>
  <c r="C53" i="4" s="1"/>
  <c r="G9" i="4"/>
  <c r="CC6" i="4" a="1"/>
  <c r="E9" i="4"/>
  <c r="CA5" i="4" s="1" a="1"/>
  <c r="CF5" i="4" a="1"/>
  <c r="G15" i="4" a="1"/>
  <c r="CG5" i="4" a="1"/>
  <c r="B9" i="4" a="1"/>
  <c r="BZ7" i="4" a="1"/>
  <c r="CB6" i="4" a="1"/>
  <c r="BI1" i="6" l="1"/>
  <c r="BI8" i="6" s="1"/>
  <c r="CJ4" i="4" a="1"/>
  <c r="CJ4" i="4" s="1"/>
  <c r="CI4" i="4" s="1"/>
  <c r="CB6" i="4"/>
  <c r="BZ7" i="4"/>
  <c r="B9" i="4"/>
  <c r="CG5" i="4"/>
  <c r="G15" i="4"/>
  <c r="CF5" i="4"/>
  <c r="CA5" i="4"/>
  <c r="CC6" i="4"/>
  <c r="G51" i="4"/>
  <c r="M13" i="4"/>
  <c r="L10" i="4"/>
  <c r="K13" i="4"/>
  <c r="J10" i="4"/>
  <c r="J13" i="4"/>
  <c r="J8" i="4"/>
  <c r="I13" i="4"/>
  <c r="E52" i="4"/>
  <c r="C52" i="4"/>
  <c r="F55" i="4"/>
  <c r="D55" i="4"/>
  <c r="B56" i="4"/>
  <c r="C55" i="4"/>
  <c r="B55" i="4"/>
  <c r="C50" i="4"/>
  <c r="B51" i="4" a="1"/>
  <c r="B51" i="4" s="1"/>
  <c r="CE7" i="4" a="1"/>
  <c r="M9" i="4" a="1"/>
  <c r="J51" i="4" a="1"/>
  <c r="BY7" i="4" a="1"/>
  <c r="E11" i="4" a="1"/>
  <c r="CF6" i="4" a="1"/>
  <c r="J11" i="4" a="1"/>
  <c r="CE6" i="4" a="1"/>
  <c r="BY6" i="4" a="1"/>
  <c r="E53" i="4" a="1"/>
  <c r="BP8" i="6" l="1"/>
  <c r="E53" i="4"/>
  <c r="BY6" i="4"/>
  <c r="CE6" i="4"/>
  <c r="J11" i="4"/>
  <c r="CF6" i="4"/>
  <c r="E11" i="4"/>
  <c r="BY7" i="4"/>
  <c r="J51" i="4"/>
  <c r="M9" i="4"/>
  <c r="CE7" i="4"/>
  <c r="F56" i="4" a="1"/>
  <c r="F56" i="4" s="1"/>
  <c r="D56" i="4"/>
  <c r="H15" i="4" a="1"/>
  <c r="H15" i="4" s="1"/>
  <c r="E51" i="4"/>
  <c r="CD6" i="4" a="1"/>
  <c r="CB7" i="4" a="1"/>
  <c r="M14" i="4"/>
  <c r="CH7" i="4" s="1" a="1"/>
  <c r="CH6" i="4" a="1"/>
  <c r="CC7" i="4" a="1"/>
  <c r="CG6" i="4" a="1"/>
  <c r="CD5" i="4" a="1"/>
  <c r="C16" i="4" a="1"/>
  <c r="B57" i="4" a="1"/>
  <c r="I15" i="4" a="1"/>
  <c r="BZ8" i="4" a="1"/>
  <c r="B17" i="4" a="1"/>
  <c r="CA6" i="4" a="1"/>
  <c r="BI15" i="6" l="1"/>
  <c r="CA6" i="4"/>
  <c r="B17" i="4"/>
  <c r="BZ8" i="4"/>
  <c r="I15" i="4"/>
  <c r="B57" i="4"/>
  <c r="C16" i="4"/>
  <c r="CD5" i="4"/>
  <c r="CJ5" i="4" s="1" a="1"/>
  <c r="CJ5" i="4" s="1"/>
  <c r="CI5" i="4" s="1"/>
  <c r="CG6" i="4"/>
  <c r="CC7" i="4"/>
  <c r="CH6" i="4"/>
  <c r="CH7" i="4"/>
  <c r="CB7" i="4"/>
  <c r="CD6" i="4"/>
  <c r="J53" i="4" a="1"/>
  <c r="J53" i="4" s="1"/>
  <c r="M51" i="4" a="1"/>
  <c r="M51" i="4" s="1"/>
  <c r="K14" i="4"/>
  <c r="I14" i="4"/>
  <c r="N9" i="4"/>
  <c r="N15" i="4" a="1"/>
  <c r="L9" i="4"/>
  <c r="CA7" i="4" s="1" a="1"/>
  <c r="BZ9" i="4" a="1"/>
  <c r="CC8" i="4" a="1"/>
  <c r="I9" i="4" a="1"/>
  <c r="CB8" i="4" a="1"/>
  <c r="CG7" i="4" a="1"/>
  <c r="CF7" i="4" a="1"/>
  <c r="BI22" i="6" l="1"/>
  <c r="BP15" i="6"/>
  <c r="CJ6" i="4" a="1"/>
  <c r="CJ6" i="4" s="1"/>
  <c r="CI6" i="4" s="1"/>
  <c r="CF7" i="4"/>
  <c r="CG7" i="4"/>
  <c r="CB8" i="4"/>
  <c r="I9" i="4"/>
  <c r="CC8" i="4"/>
  <c r="BZ9" i="4"/>
  <c r="CA7" i="4"/>
  <c r="N15" i="4"/>
  <c r="N51" i="4"/>
  <c r="M55" i="4"/>
  <c r="L52" i="4"/>
  <c r="K55" i="4"/>
  <c r="J52" i="4"/>
  <c r="J55" i="4"/>
  <c r="I56" i="4"/>
  <c r="I55" i="4"/>
  <c r="J50" i="4"/>
  <c r="I51" i="4" a="1"/>
  <c r="I51" i="4" s="1"/>
  <c r="C15" i="4"/>
  <c r="F20" i="4"/>
  <c r="E17" i="4"/>
  <c r="D20" i="4"/>
  <c r="C17" i="4"/>
  <c r="C20" i="4"/>
  <c r="B20" i="4"/>
  <c r="CE8" i="4" a="1"/>
  <c r="CE9" i="4" a="1"/>
  <c r="CF8" i="4" a="1"/>
  <c r="BY8" i="4" a="1"/>
  <c r="A22" i="4" a="1"/>
  <c r="F16" i="4" a="1"/>
  <c r="L11" i="4" a="1"/>
  <c r="C18" i="4" a="1"/>
  <c r="L53" i="4" a="1"/>
  <c r="C58" i="4" a="1"/>
  <c r="BY9" i="4" a="1"/>
  <c r="BI29" i="6" l="1"/>
  <c r="BP22" i="6"/>
  <c r="BY9" i="4"/>
  <c r="C58" i="4"/>
  <c r="L53" i="4"/>
  <c r="C18" i="4"/>
  <c r="L11" i="4"/>
  <c r="F16" i="4"/>
  <c r="A22" i="4"/>
  <c r="BY8" i="4"/>
  <c r="CF8" i="4"/>
  <c r="CE9" i="4"/>
  <c r="CE8" i="4"/>
  <c r="M56" i="4" a="1"/>
  <c r="M56" i="4" s="1"/>
  <c r="L51" i="4"/>
  <c r="K56" i="4"/>
  <c r="CA8" i="4" a="1"/>
  <c r="CD8" i="4" a="1"/>
  <c r="CC9" i="4" a="1"/>
  <c r="F21" i="4"/>
  <c r="CH9" i="4" s="1" a="1"/>
  <c r="BZ10" i="4" a="1"/>
  <c r="CG8" i="4" a="1"/>
  <c r="CH8" i="4" a="1"/>
  <c r="CD7" i="4" a="1"/>
  <c r="I17" i="4" a="1"/>
  <c r="CB9" i="4" a="1"/>
  <c r="I57" i="4" a="1"/>
  <c r="B22" i="4" a="1"/>
  <c r="J16" i="4" a="1"/>
  <c r="BI36" i="6" l="1"/>
  <c r="BP29" i="6"/>
  <c r="J16" i="4"/>
  <c r="B22" i="4"/>
  <c r="I57" i="4"/>
  <c r="CB9" i="4"/>
  <c r="I17" i="4"/>
  <c r="CD7" i="4"/>
  <c r="CJ7" i="4" s="1" a="1"/>
  <c r="CJ7" i="4" s="1"/>
  <c r="CI7" i="4" s="1"/>
  <c r="CH8" i="4"/>
  <c r="CG8" i="4"/>
  <c r="BZ10" i="4"/>
  <c r="CH9" i="4"/>
  <c r="CC9" i="4"/>
  <c r="CD8" i="4"/>
  <c r="CA8" i="4"/>
  <c r="G16" i="4"/>
  <c r="F58" i="4" a="1"/>
  <c r="F58" i="4" s="1"/>
  <c r="C60" i="4" a="1"/>
  <c r="C60" i="4" s="1"/>
  <c r="D21" i="4"/>
  <c r="B21" i="4"/>
  <c r="BZ11" i="4" a="1"/>
  <c r="CC10" i="4" a="1"/>
  <c r="G22" i="4" a="1"/>
  <c r="CG9" i="4" a="1"/>
  <c r="E16" i="4"/>
  <c r="CA9" i="4" s="1" a="1"/>
  <c r="CF9" i="4" a="1"/>
  <c r="B16" i="4" a="1"/>
  <c r="CB10" i="4" a="1"/>
  <c r="BP36" i="6" l="1"/>
  <c r="CJ8" i="4" a="1"/>
  <c r="CJ8" i="4" s="1"/>
  <c r="CI8" i="4" s="1"/>
  <c r="CB10" i="4"/>
  <c r="B16" i="4"/>
  <c r="CF9" i="4"/>
  <c r="CA9" i="4"/>
  <c r="CG9" i="4"/>
  <c r="G22" i="4"/>
  <c r="CC10" i="4"/>
  <c r="BZ11" i="4"/>
  <c r="G58" i="4"/>
  <c r="E59" i="4"/>
  <c r="C59" i="4"/>
  <c r="F62" i="4"/>
  <c r="D62" i="4"/>
  <c r="C62" i="4"/>
  <c r="B63" i="4"/>
  <c r="B62" i="4"/>
  <c r="C57" i="4"/>
  <c r="B58" i="4" a="1"/>
  <c r="B58" i="4" s="1"/>
  <c r="M20" i="4"/>
  <c r="L17" i="4"/>
  <c r="K20" i="4"/>
  <c r="J17" i="4"/>
  <c r="J20" i="4"/>
  <c r="J15" i="4"/>
  <c r="I20" i="4"/>
  <c r="E60" i="4" a="1"/>
  <c r="E18" i="4" a="1"/>
  <c r="CE10" i="4" a="1"/>
  <c r="CF10" i="4" a="1"/>
  <c r="CE11" i="4" a="1"/>
  <c r="BY10" i="4" a="1"/>
  <c r="J58" i="4" a="1"/>
  <c r="BY11" i="4" a="1"/>
  <c r="J18" i="4" a="1"/>
  <c r="J18" i="4" l="1"/>
  <c r="BY11" i="4"/>
  <c r="J58" i="4"/>
  <c r="BY10" i="4"/>
  <c r="CE11" i="4"/>
  <c r="CF10" i="4"/>
  <c r="CE10" i="4"/>
  <c r="E18" i="4"/>
  <c r="E60" i="4"/>
  <c r="H22" i="4" a="1"/>
  <c r="H22" i="4" s="1"/>
  <c r="F63" i="4" a="1"/>
  <c r="F63" i="4" s="1"/>
  <c r="E58" i="4"/>
  <c r="D63" i="4"/>
  <c r="CC11" i="4" a="1"/>
  <c r="CD10" i="4" a="1"/>
  <c r="CG10" i="4" a="1"/>
  <c r="M21" i="4"/>
  <c r="BZ12" i="4" a="1"/>
  <c r="C23" i="4" a="1"/>
  <c r="I22" i="4" a="1"/>
  <c r="B64" i="4" a="1"/>
  <c r="B24" i="4" a="1"/>
  <c r="CH10" i="4" a="1"/>
  <c r="CD9" i="4" a="1"/>
  <c r="CA10" i="4" a="1"/>
  <c r="M16" i="4" a="1"/>
  <c r="CH11" i="4" a="1"/>
  <c r="CH11" i="4" l="1"/>
  <c r="M16" i="4"/>
  <c r="CA10" i="4"/>
  <c r="CD9" i="4"/>
  <c r="CJ9" i="4" s="1" a="1"/>
  <c r="CJ9" i="4" s="1"/>
  <c r="CI9" i="4" s="1"/>
  <c r="CH10" i="4"/>
  <c r="B24" i="4"/>
  <c r="B64" i="4"/>
  <c r="I22" i="4"/>
  <c r="C23" i="4"/>
  <c r="BZ12" i="4"/>
  <c r="CG10" i="4"/>
  <c r="CD10" i="4"/>
  <c r="CC11" i="4"/>
  <c r="J60" i="4" a="1"/>
  <c r="J60" i="4" s="1"/>
  <c r="M58" i="4" a="1"/>
  <c r="M58" i="4" s="1"/>
  <c r="K21" i="4"/>
  <c r="I21" i="4"/>
  <c r="BZ13" i="4" a="1"/>
  <c r="CF11" i="4" a="1"/>
  <c r="CB11" i="4" a="1"/>
  <c r="I16" i="4" a="1"/>
  <c r="CC12" i="4" a="1"/>
  <c r="N22" i="4" a="1"/>
  <c r="CG11" i="4" a="1"/>
  <c r="CB12" i="4" a="1"/>
  <c r="CJ10" i="4" l="1" a="1"/>
  <c r="CJ10" i="4" s="1"/>
  <c r="CI10" i="4" s="1"/>
  <c r="CB12" i="4"/>
  <c r="CG11" i="4"/>
  <c r="N22" i="4"/>
  <c r="CC12" i="4"/>
  <c r="I16" i="4"/>
  <c r="CB11" i="4"/>
  <c r="CF11" i="4"/>
  <c r="BZ13" i="4"/>
  <c r="N58" i="4"/>
  <c r="J62" i="4"/>
  <c r="K62" i="4"/>
  <c r="I63" i="4"/>
  <c r="I62" i="4"/>
  <c r="J57" i="4"/>
  <c r="M62" i="4"/>
  <c r="L59" i="4"/>
  <c r="J59" i="4"/>
  <c r="I58" i="4" a="1"/>
  <c r="I58" i="4" s="1"/>
  <c r="N16" i="4"/>
  <c r="L16" i="4"/>
  <c r="F27" i="4"/>
  <c r="E24" i="4"/>
  <c r="D27" i="4"/>
  <c r="C24" i="4"/>
  <c r="C27" i="4"/>
  <c r="B27" i="4"/>
  <c r="C22" i="4"/>
  <c r="F23" i="4" a="1"/>
  <c r="C25" i="4" a="1"/>
  <c r="A29" i="4" a="1"/>
  <c r="C65" i="4" a="1"/>
  <c r="BY13" i="4" a="1"/>
  <c r="CF12" i="4" a="1"/>
  <c r="BY12" i="4" a="1"/>
  <c r="CA11" i="4" a="1"/>
  <c r="CE13" i="4" a="1"/>
  <c r="CE12" i="4" a="1"/>
  <c r="L60" i="4" a="1"/>
  <c r="L18" i="4" a="1"/>
  <c r="L18" i="4" l="1"/>
  <c r="L60" i="4"/>
  <c r="CE12" i="4"/>
  <c r="CE13" i="4"/>
  <c r="CA11" i="4"/>
  <c r="BY12" i="4"/>
  <c r="CF12" i="4"/>
  <c r="BY13" i="4"/>
  <c r="C65" i="4"/>
  <c r="A29" i="4"/>
  <c r="C25" i="4"/>
  <c r="F23" i="4"/>
  <c r="M63" i="4" a="1"/>
  <c r="M63" i="4" s="1"/>
  <c r="K63" i="4"/>
  <c r="L58" i="4"/>
  <c r="CD11" i="4" a="1"/>
  <c r="BZ14" i="4" a="1"/>
  <c r="I64" i="4" a="1"/>
  <c r="CD12" i="4" a="1"/>
  <c r="B29" i="4" a="1"/>
  <c r="J23" i="4" a="1"/>
  <c r="CC13" i="4" a="1"/>
  <c r="CA12" i="4" a="1"/>
  <c r="CB13" i="4" a="1"/>
  <c r="CH12" i="4" a="1"/>
  <c r="I24" i="4" a="1"/>
  <c r="F28" i="4"/>
  <c r="CH13" i="4" s="1" a="1"/>
  <c r="CG12" i="4" a="1"/>
  <c r="CG12" i="4" l="1"/>
  <c r="CH13" i="4"/>
  <c r="I24" i="4"/>
  <c r="CH12" i="4"/>
  <c r="CB13" i="4"/>
  <c r="CA12" i="4"/>
  <c r="CC13" i="4"/>
  <c r="J23" i="4"/>
  <c r="B29" i="4"/>
  <c r="CD12" i="4"/>
  <c r="I64" i="4"/>
  <c r="BZ14" i="4"/>
  <c r="CD11" i="4"/>
  <c r="CJ11" i="4" s="1" a="1"/>
  <c r="CJ11" i="4" s="1"/>
  <c r="CI11" i="4" s="1"/>
  <c r="G23" i="4"/>
  <c r="D28" i="4"/>
  <c r="B28" i="4"/>
  <c r="F65" i="4" a="1"/>
  <c r="F65" i="4" s="1"/>
  <c r="C67" i="4" a="1"/>
  <c r="C67" i="4" s="1"/>
  <c r="CC14" i="4" a="1"/>
  <c r="G29" i="4" a="1"/>
  <c r="B23" i="4" a="1"/>
  <c r="E23" i="4"/>
  <c r="CA13" i="4" s="1" a="1"/>
  <c r="CB14" i="4" a="1"/>
  <c r="BZ15" i="4" a="1"/>
  <c r="CG13" i="4" a="1"/>
  <c r="CF13" i="4" a="1"/>
  <c r="CJ12" i="4" l="1" a="1"/>
  <c r="CJ12" i="4" s="1"/>
  <c r="CI12" i="4" s="1"/>
  <c r="CF13" i="4"/>
  <c r="CG13" i="4"/>
  <c r="BZ15" i="4"/>
  <c r="CB14" i="4"/>
  <c r="CA13" i="4"/>
  <c r="B23" i="4"/>
  <c r="G29" i="4"/>
  <c r="CC14" i="4"/>
  <c r="J27" i="4"/>
  <c r="J22" i="4"/>
  <c r="I27" i="4"/>
  <c r="M27" i="4"/>
  <c r="L24" i="4"/>
  <c r="J24" i="4"/>
  <c r="K27" i="4"/>
  <c r="G65" i="4"/>
  <c r="F69" i="4"/>
  <c r="D69" i="4"/>
  <c r="C69" i="4"/>
  <c r="B70" i="4"/>
  <c r="B69" i="4"/>
  <c r="C64" i="4"/>
  <c r="C66" i="4"/>
  <c r="E66" i="4"/>
  <c r="B65" i="4" a="1"/>
  <c r="B65" i="4" s="1"/>
  <c r="J65" i="4" a="1"/>
  <c r="BY15" i="4" a="1"/>
  <c r="CF14" i="4" a="1"/>
  <c r="BY14" i="4" a="1"/>
  <c r="J25" i="4" a="1"/>
  <c r="E25" i="4" a="1"/>
  <c r="E67" i="4" a="1"/>
  <c r="CE14" i="4" a="1"/>
  <c r="CE15" i="4" a="1"/>
  <c r="CE15" i="4" l="1"/>
  <c r="CE14" i="4"/>
  <c r="E67" i="4"/>
  <c r="E25" i="4"/>
  <c r="J25" i="4"/>
  <c r="BY14" i="4"/>
  <c r="CF14" i="4"/>
  <c r="BY15" i="4"/>
  <c r="J65" i="4"/>
  <c r="H29" i="4" a="1"/>
  <c r="H29" i="4" s="1"/>
  <c r="F70" i="4" a="1"/>
  <c r="F70" i="4" s="1"/>
  <c r="E65" i="4"/>
  <c r="D70" i="4"/>
  <c r="BZ16" i="4" a="1"/>
  <c r="CG14" i="4" a="1"/>
  <c r="C30" i="4" a="1"/>
  <c r="CD14" i="4" a="1"/>
  <c r="I29" i="4" a="1"/>
  <c r="CH14" i="4" a="1"/>
  <c r="CD13" i="4" a="1"/>
  <c r="B71" i="4" a="1"/>
  <c r="CC15" i="4" a="1"/>
  <c r="B31" i="4" a="1"/>
  <c r="CA14" i="4" a="1"/>
  <c r="M28" i="4"/>
  <c r="M23" i="4" s="1" a="1"/>
  <c r="CH15" i="4" a="1"/>
  <c r="M23" i="4" l="1"/>
  <c r="CH15" i="4"/>
  <c r="CA14" i="4"/>
  <c r="B31" i="4"/>
  <c r="CC15" i="4"/>
  <c r="B71" i="4"/>
  <c r="CD13" i="4"/>
  <c r="CJ13" i="4" s="1" a="1"/>
  <c r="CJ13" i="4" s="1"/>
  <c r="CI13" i="4" s="1"/>
  <c r="CH14" i="4"/>
  <c r="I29" i="4"/>
  <c r="CD14" i="4"/>
  <c r="C30" i="4"/>
  <c r="CG14" i="4"/>
  <c r="BZ16" i="4"/>
  <c r="K28" i="4"/>
  <c r="I28" i="4"/>
  <c r="M65" i="4" a="1"/>
  <c r="M65" i="4" s="1"/>
  <c r="J67" i="4" a="1"/>
  <c r="J67" i="4" s="1"/>
  <c r="N29" i="4" a="1"/>
  <c r="CB16" i="4" a="1"/>
  <c r="CB15" i="4" a="1"/>
  <c r="CC16" i="4" a="1"/>
  <c r="CF15" i="4" a="1"/>
  <c r="BZ17" i="4" a="1"/>
  <c r="CG15" i="4" a="1"/>
  <c r="I23" i="4" a="1"/>
  <c r="CJ14" i="4" l="1" a="1"/>
  <c r="CJ14" i="4" s="1"/>
  <c r="CI14" i="4" s="1"/>
  <c r="I23" i="4"/>
  <c r="CG15" i="4"/>
  <c r="BZ17" i="4"/>
  <c r="CF15" i="4"/>
  <c r="CC16" i="4"/>
  <c r="CB15" i="4"/>
  <c r="CB16" i="4"/>
  <c r="N29" i="4"/>
  <c r="F34" i="4"/>
  <c r="E31" i="4"/>
  <c r="D34" i="4"/>
  <c r="C31" i="4"/>
  <c r="C34" i="4"/>
  <c r="B34" i="4"/>
  <c r="C29" i="4"/>
  <c r="J64" i="4"/>
  <c r="I70" i="4"/>
  <c r="I69" i="4"/>
  <c r="M69" i="4"/>
  <c r="L66" i="4"/>
  <c r="K69" i="4"/>
  <c r="J66" i="4"/>
  <c r="J69" i="4"/>
  <c r="I65" i="4" a="1"/>
  <c r="I65" i="4" s="1"/>
  <c r="L23" i="4"/>
  <c r="N23" i="4"/>
  <c r="N65" i="4"/>
  <c r="L25" i="4" a="1"/>
  <c r="BY16" i="4" a="1"/>
  <c r="C32" i="4" a="1"/>
  <c r="C72" i="4" a="1"/>
  <c r="BY17" i="4" a="1"/>
  <c r="CE16" i="4" a="1"/>
  <c r="CE17" i="4" a="1"/>
  <c r="F30" i="4" a="1"/>
  <c r="CF16" i="4" a="1"/>
  <c r="L67" i="4" a="1"/>
  <c r="CA15" i="4" a="1"/>
  <c r="CA15" i="4" l="1"/>
  <c r="L67" i="4"/>
  <c r="CF16" i="4"/>
  <c r="F30" i="4"/>
  <c r="CE17" i="4"/>
  <c r="CE16" i="4"/>
  <c r="BY17" i="4"/>
  <c r="C72" i="4"/>
  <c r="C32" i="4"/>
  <c r="BY16" i="4"/>
  <c r="L25" i="4"/>
  <c r="A36" i="4" a="1"/>
  <c r="A36" i="4" s="1"/>
  <c r="M70" i="4" a="1"/>
  <c r="M70" i="4" s="1"/>
  <c r="K70" i="4"/>
  <c r="L65" i="4"/>
  <c r="CC17" i="4" a="1"/>
  <c r="CH16" i="4" a="1"/>
  <c r="CG16" i="4" a="1"/>
  <c r="CD16" i="4" a="1"/>
  <c r="CD15" i="4" a="1"/>
  <c r="CB17" i="4" a="1"/>
  <c r="F35" i="4"/>
  <c r="CH17" i="4" s="1" a="1"/>
  <c r="CA16" i="4" a="1"/>
  <c r="BZ18" i="4" a="1"/>
  <c r="B36" i="4" a="1"/>
  <c r="I71" i="4" a="1"/>
  <c r="J30" i="4" a="1"/>
  <c r="I31" i="4" a="1"/>
  <c r="I31" i="4" l="1"/>
  <c r="J30" i="4"/>
  <c r="I71" i="4"/>
  <c r="B36" i="4"/>
  <c r="BZ18" i="4"/>
  <c r="CA16" i="4"/>
  <c r="CH17" i="4"/>
  <c r="CB17" i="4"/>
  <c r="CD15" i="4"/>
  <c r="CJ15" i="4" s="1" a="1"/>
  <c r="CJ15" i="4" s="1"/>
  <c r="CI15" i="4" s="1"/>
  <c r="CD16" i="4"/>
  <c r="CG16" i="4"/>
  <c r="CH16" i="4"/>
  <c r="CC17" i="4"/>
  <c r="F72" i="4" a="1"/>
  <c r="F72" i="4" s="1"/>
  <c r="C74" i="4" a="1"/>
  <c r="C74" i="4" s="1"/>
  <c r="G30" i="4"/>
  <c r="D35" i="4"/>
  <c r="B35" i="4"/>
  <c r="E30" i="4"/>
  <c r="CA17" i="4" s="1" a="1"/>
  <c r="BZ19" i="4" a="1"/>
  <c r="CG17" i="4" a="1"/>
  <c r="CF17" i="4" a="1"/>
  <c r="CC18" i="4" a="1"/>
  <c r="G36" i="4" a="1"/>
  <c r="B30" i="4" a="1"/>
  <c r="CB18" i="4" a="1"/>
  <c r="CJ16" i="4" l="1" a="1"/>
  <c r="CJ16" i="4" s="1"/>
  <c r="CI16" i="4" s="1"/>
  <c r="CB18" i="4"/>
  <c r="B30" i="4"/>
  <c r="G36" i="4"/>
  <c r="CC18" i="4"/>
  <c r="CF17" i="4"/>
  <c r="CG17" i="4"/>
  <c r="BZ19" i="4"/>
  <c r="CA17" i="4"/>
  <c r="G72" i="4"/>
  <c r="C76" i="4"/>
  <c r="D77" i="4" s="1"/>
  <c r="B77" i="4"/>
  <c r="B76" i="4"/>
  <c r="C71" i="4"/>
  <c r="E72" i="4" s="1"/>
  <c r="D76" i="4"/>
  <c r="E73" i="4"/>
  <c r="C73" i="4"/>
  <c r="F76" i="4"/>
  <c r="B72" i="4" a="1"/>
  <c r="B72" i="4" s="1"/>
  <c r="M34" i="4"/>
  <c r="L31" i="4"/>
  <c r="K34" i="4"/>
  <c r="J31" i="4"/>
  <c r="J34" i="4"/>
  <c r="J29" i="4"/>
  <c r="I34" i="4"/>
  <c r="CA18" i="4" a="1"/>
  <c r="E32" i="4" a="1"/>
  <c r="CG18" i="4" a="1"/>
  <c r="CE18" i="4" a="1"/>
  <c r="E74" i="4" a="1"/>
  <c r="M30" i="4" a="1"/>
  <c r="J72" i="4" a="1"/>
  <c r="BY19" i="4" a="1"/>
  <c r="CF18" i="4" a="1"/>
  <c r="BY18" i="4" a="1"/>
  <c r="J32" i="4" a="1"/>
  <c r="CE19" i="4" a="1"/>
  <c r="CE19" i="4" l="1"/>
  <c r="J32" i="4"/>
  <c r="BY18" i="4"/>
  <c r="CF18" i="4"/>
  <c r="BY19" i="4"/>
  <c r="J72" i="4"/>
  <c r="M30" i="4"/>
  <c r="E74" i="4"/>
  <c r="CE18" i="4"/>
  <c r="CG18" i="4"/>
  <c r="E32" i="4"/>
  <c r="CA18" i="4"/>
  <c r="F77" i="4" a="1"/>
  <c r="F77" i="4" s="1"/>
  <c r="H36" i="4" a="1"/>
  <c r="H36" i="4" s="1"/>
  <c r="B38" i="4" a="1"/>
  <c r="CC19" i="4" a="1"/>
  <c r="C37" i="4" a="1"/>
  <c r="CD17" i="4" a="1"/>
  <c r="CH18" i="4" a="1"/>
  <c r="I36" i="4" a="1"/>
  <c r="BZ20" i="4" a="1"/>
  <c r="M35" i="4"/>
  <c r="CH19" i="4" s="1" a="1"/>
  <c r="CD18" i="4" a="1"/>
  <c r="B78" i="4" a="1"/>
  <c r="CB19" i="4" a="1"/>
  <c r="CB19" i="4" l="1"/>
  <c r="B78" i="4"/>
  <c r="CD18" i="4"/>
  <c r="CH19" i="4"/>
  <c r="BZ20" i="4"/>
  <c r="I36" i="4"/>
  <c r="CH18" i="4"/>
  <c r="CD17" i="4"/>
  <c r="CJ17" i="4" s="1" a="1"/>
  <c r="CJ17" i="4" s="1"/>
  <c r="CI17" i="4" s="1"/>
  <c r="C37" i="4"/>
  <c r="CC19" i="4"/>
  <c r="B38" i="4"/>
  <c r="N30" i="4"/>
  <c r="M72" i="4" a="1"/>
  <c r="M72" i="4" s="1"/>
  <c r="J74" i="4" a="1"/>
  <c r="J74" i="4" s="1"/>
  <c r="I35" i="4"/>
  <c r="K35" i="4"/>
  <c r="BZ21" i="4" a="1"/>
  <c r="CG19" i="4" a="1"/>
  <c r="N36" i="4" a="1"/>
  <c r="CB20" i="4" a="1"/>
  <c r="L30" i="4"/>
  <c r="CA19" i="4" s="1" a="1"/>
  <c r="CC20" i="4" a="1"/>
  <c r="CF19" i="4" a="1"/>
  <c r="I30" i="4" a="1"/>
  <c r="CJ18" i="4" l="1" a="1"/>
  <c r="CJ18" i="4" s="1"/>
  <c r="CI18" i="4" s="1"/>
  <c r="I30" i="4"/>
  <c r="CF19" i="4"/>
  <c r="CC20" i="4"/>
  <c r="CA19" i="4"/>
  <c r="CB20" i="4"/>
  <c r="N36" i="4"/>
  <c r="CG19" i="4"/>
  <c r="BZ21" i="4"/>
  <c r="M76" i="4"/>
  <c r="L73" i="4"/>
  <c r="K76" i="4"/>
  <c r="J73" i="4"/>
  <c r="J76" i="4"/>
  <c r="I77" i="4"/>
  <c r="I76" i="4"/>
  <c r="J71" i="4"/>
  <c r="L72" i="4" s="1"/>
  <c r="I72" i="4" a="1"/>
  <c r="I72" i="4" s="1"/>
  <c r="N72" i="4"/>
  <c r="C41" i="4"/>
  <c r="B41" i="4"/>
  <c r="C36" i="4"/>
  <c r="F41" i="4"/>
  <c r="E38" i="4"/>
  <c r="C38" i="4"/>
  <c r="D41" i="4"/>
  <c r="L32" i="4" a="1"/>
  <c r="BY20" i="4" a="1"/>
  <c r="C39" i="4" a="1"/>
  <c r="L74" i="4" a="1"/>
  <c r="C79" i="4" a="1"/>
  <c r="BY21" i="4" a="1"/>
  <c r="F37" i="4" a="1"/>
  <c r="CE20" i="4" a="1"/>
  <c r="CF20" i="4" a="1"/>
  <c r="CE21" i="4" a="1"/>
  <c r="CA20" i="4" a="1"/>
  <c r="CA20" i="4" l="1"/>
  <c r="CE21" i="4"/>
  <c r="CF20" i="4"/>
  <c r="CE20" i="4"/>
  <c r="F37" i="4"/>
  <c r="BY21" i="4"/>
  <c r="C79" i="4"/>
  <c r="L74" i="4"/>
  <c r="C39" i="4"/>
  <c r="BY20" i="4"/>
  <c r="L32" i="4"/>
  <c r="P1" i="4" a="1"/>
  <c r="P1" i="4" s="1"/>
  <c r="K77" i="4"/>
  <c r="M77" i="4" a="1"/>
  <c r="M77" i="4" s="1"/>
  <c r="CD19" i="4" a="1"/>
  <c r="CB21" i="4" a="1"/>
  <c r="I78" i="4" a="1"/>
  <c r="I38" i="4" a="1"/>
  <c r="CH20" i="4" a="1"/>
  <c r="J37" i="4" a="1"/>
  <c r="BZ22" i="4" a="1"/>
  <c r="Q1" i="4" a="1"/>
  <c r="CD20" i="4" a="1"/>
  <c r="CG20" i="4" a="1"/>
  <c r="CC21" i="4" a="1"/>
  <c r="F42" i="4"/>
  <c r="CH21" i="4" s="1" a="1"/>
  <c r="CH21" i="4" l="1"/>
  <c r="CC21" i="4"/>
  <c r="CG20" i="4"/>
  <c r="CD20" i="4"/>
  <c r="Q1" i="4"/>
  <c r="BZ22" i="4"/>
  <c r="J37" i="4"/>
  <c r="CH20" i="4"/>
  <c r="I38" i="4"/>
  <c r="I78" i="4"/>
  <c r="CB21" i="4"/>
  <c r="CD19" i="4"/>
  <c r="CJ19" i="4" s="1" a="1"/>
  <c r="CJ19" i="4" s="1"/>
  <c r="CI19" i="4" s="1"/>
  <c r="D42" i="4"/>
  <c r="B42" i="4"/>
  <c r="C81" i="4" a="1"/>
  <c r="C81" i="4" s="1"/>
  <c r="F79" i="4" a="1"/>
  <c r="F79" i="4" s="1"/>
  <c r="G37" i="4"/>
  <c r="CB22" i="4" a="1"/>
  <c r="E37" i="4"/>
  <c r="CA21" i="4" s="1" a="1"/>
  <c r="CC22" i="4" a="1"/>
  <c r="V1" i="4" a="1"/>
  <c r="CF21" i="4" a="1"/>
  <c r="CG21" i="4" a="1"/>
  <c r="BZ23" i="4" a="1"/>
  <c r="B37" i="4" a="1"/>
  <c r="CJ20" i="4" l="1" a="1"/>
  <c r="CJ20" i="4" s="1"/>
  <c r="CI20" i="4" s="1"/>
  <c r="B37" i="4"/>
  <c r="BZ23" i="4"/>
  <c r="CG21" i="4"/>
  <c r="CF21" i="4"/>
  <c r="V1" i="4"/>
  <c r="CC22" i="4"/>
  <c r="CA21" i="4"/>
  <c r="CB22" i="4"/>
  <c r="M41" i="4"/>
  <c r="L38" i="4"/>
  <c r="K41" i="4"/>
  <c r="J38" i="4"/>
  <c r="J41" i="4"/>
  <c r="J36" i="4"/>
  <c r="I41" i="4"/>
  <c r="E80" i="4"/>
  <c r="C80" i="4"/>
  <c r="F83" i="4"/>
  <c r="D83" i="4"/>
  <c r="B83" i="4"/>
  <c r="C83" i="4"/>
  <c r="B84" i="4"/>
  <c r="C78" i="4"/>
  <c r="E79" i="4" s="1"/>
  <c r="B79" i="4" a="1"/>
  <c r="B79" i="4" s="1"/>
  <c r="G79" i="4"/>
  <c r="E39" i="4" a="1"/>
  <c r="J39" i="4" a="1"/>
  <c r="BY22" i="4" a="1"/>
  <c r="E81" i="4" a="1"/>
  <c r="M37" i="4" a="1"/>
  <c r="R2" i="4" a="1"/>
  <c r="Q3" i="4" a="1"/>
  <c r="Q43" i="4" a="1"/>
  <c r="CA22" i="4" a="1"/>
  <c r="J79" i="4" a="1"/>
  <c r="BY23" i="4" a="1"/>
  <c r="CE23" i="4" a="1"/>
  <c r="CE22" i="4" a="1"/>
  <c r="CF22" i="4" a="1"/>
  <c r="CF22" i="4" l="1"/>
  <c r="CE22" i="4"/>
  <c r="CE23" i="4"/>
  <c r="BY23" i="4"/>
  <c r="J79" i="4"/>
  <c r="CA22" i="4"/>
  <c r="Q43" i="4"/>
  <c r="Q3" i="4"/>
  <c r="R2" i="4"/>
  <c r="M37" i="4"/>
  <c r="E81" i="4"/>
  <c r="BY22" i="4"/>
  <c r="J39" i="4"/>
  <c r="E39" i="4"/>
  <c r="D84" i="4"/>
  <c r="W1" i="4" a="1"/>
  <c r="W1" i="4" s="1"/>
  <c r="F84" i="4" a="1"/>
  <c r="F84" i="4" s="1"/>
  <c r="U2" i="4" a="1"/>
  <c r="R4" i="4" a="1"/>
  <c r="X1" i="4" a="1"/>
  <c r="BZ24" i="4" a="1"/>
  <c r="CC23" i="4" a="1"/>
  <c r="CG22" i="4" a="1"/>
  <c r="CB23" i="4" a="1"/>
  <c r="CH22" i="4" a="1"/>
  <c r="CD22" i="4" a="1"/>
  <c r="CD21" i="4" a="1"/>
  <c r="M42" i="4"/>
  <c r="CH23" i="4" s="1" a="1"/>
  <c r="CH23" i="4" l="1"/>
  <c r="CD21" i="4"/>
  <c r="CJ21" i="4" s="1" a="1"/>
  <c r="CJ21" i="4" s="1"/>
  <c r="CI21" i="4" s="1"/>
  <c r="CD22" i="4"/>
  <c r="CH22" i="4"/>
  <c r="CB23" i="4"/>
  <c r="CG22" i="4"/>
  <c r="CC23" i="4"/>
  <c r="BZ24" i="4"/>
  <c r="X1" i="4"/>
  <c r="R4" i="4"/>
  <c r="U2" i="4"/>
  <c r="N37" i="4"/>
  <c r="K42" i="4"/>
  <c r="I42" i="4"/>
  <c r="J81" i="4" a="1"/>
  <c r="J81" i="4" s="1"/>
  <c r="M79" i="4" a="1"/>
  <c r="M79" i="4" s="1"/>
  <c r="BZ25" i="4"/>
  <c r="R6" i="4"/>
  <c r="CE25" i="4" s="1"/>
  <c r="R1" i="4"/>
  <c r="T3" i="4"/>
  <c r="S6" i="4"/>
  <c r="U6" i="4"/>
  <c r="R3" i="4"/>
  <c r="Q6" i="4"/>
  <c r="AC1" i="4" a="1"/>
  <c r="CC24" i="4" a="1"/>
  <c r="T2" i="4"/>
  <c r="L37" i="4"/>
  <c r="CA23" i="4" s="1" a="1"/>
  <c r="R44" i="4" a="1"/>
  <c r="U7" i="4"/>
  <c r="CG23" i="4" a="1"/>
  <c r="Q2" i="4" a="1"/>
  <c r="CB24" i="4" a="1"/>
  <c r="CF23" i="4" a="1"/>
  <c r="I37" i="4" a="1"/>
  <c r="CJ22" i="4" l="1" a="1"/>
  <c r="CJ22" i="4" s="1"/>
  <c r="CI22" i="4" s="1"/>
  <c r="I37" i="4"/>
  <c r="CF23" i="4"/>
  <c r="CB24" i="4"/>
  <c r="Q2" i="4"/>
  <c r="CG23" i="4"/>
  <c r="CH25" i="4"/>
  <c r="R44" i="4"/>
  <c r="CA23" i="4"/>
  <c r="CA25" i="4"/>
  <c r="CC24" i="4"/>
  <c r="AC1" i="4"/>
  <c r="N79" i="4"/>
  <c r="CC25" i="4"/>
  <c r="S7" i="4"/>
  <c r="CG25" i="4" s="1"/>
  <c r="Q7" i="4"/>
  <c r="CF25" i="4" s="1"/>
  <c r="BY25" i="4"/>
  <c r="CB25" i="4"/>
  <c r="V2" i="4"/>
  <c r="M83" i="4"/>
  <c r="L80" i="4"/>
  <c r="K83" i="4"/>
  <c r="J80" i="4"/>
  <c r="J83" i="4"/>
  <c r="K84" i="4" s="1"/>
  <c r="I84" i="4"/>
  <c r="I83" i="4"/>
  <c r="J78" i="4"/>
  <c r="I79" i="4" a="1"/>
  <c r="I79" i="4" s="1"/>
  <c r="L39" i="4" a="1"/>
  <c r="CE24" i="4" a="1"/>
  <c r="CF24" i="4" a="1"/>
  <c r="BY24" i="4" a="1"/>
  <c r="Y2" i="4" a="1"/>
  <c r="X43" i="4" a="1"/>
  <c r="X3" i="4" a="1"/>
  <c r="T4" i="4" a="1"/>
  <c r="L81" i="4" a="1"/>
  <c r="BZ26" i="4" a="1"/>
  <c r="CG24" i="4" a="1"/>
  <c r="CG24" i="4" l="1"/>
  <c r="BZ26" i="4"/>
  <c r="L81" i="4"/>
  <c r="T4" i="4"/>
  <c r="CD25" i="4" s="1"/>
  <c r="CJ25" i="4" s="1" a="1"/>
  <c r="CJ25" i="4" s="1"/>
  <c r="CI25" i="4" s="1"/>
  <c r="X3" i="4"/>
  <c r="X43" i="4"/>
  <c r="Y2" i="4"/>
  <c r="BY24" i="4"/>
  <c r="CF24" i="4"/>
  <c r="CE24" i="4"/>
  <c r="L39" i="4"/>
  <c r="R46" i="4" a="1"/>
  <c r="R46" i="4" s="1"/>
  <c r="U44" i="4" a="1"/>
  <c r="U44" i="4" s="1"/>
  <c r="P8" i="4" a="1"/>
  <c r="P8" i="4" s="1"/>
  <c r="M84" i="4" a="1"/>
  <c r="M84" i="4" s="1"/>
  <c r="L79" i="4"/>
  <c r="CD23" i="4" a="1"/>
  <c r="CC26" i="4" a="1"/>
  <c r="CB26" i="4" a="1"/>
  <c r="Q8" i="4" a="1"/>
  <c r="AB2" i="4" a="1"/>
  <c r="Y4" i="4" a="1"/>
  <c r="CH24" i="4" a="1"/>
  <c r="CA24" i="4" a="1"/>
  <c r="CD24" i="4" a="1"/>
  <c r="CD24" i="4" l="1"/>
  <c r="CA24" i="4"/>
  <c r="CH24" i="4"/>
  <c r="Y4" i="4"/>
  <c r="AB2" i="4"/>
  <c r="Q8" i="4"/>
  <c r="CB26" i="4"/>
  <c r="CC26" i="4"/>
  <c r="CD23" i="4"/>
  <c r="CJ23" i="4" s="1" a="1"/>
  <c r="CJ23" i="4" s="1"/>
  <c r="CI23" i="4" s="1"/>
  <c r="BZ27" i="4"/>
  <c r="Z6" i="4"/>
  <c r="Y3" i="4"/>
  <c r="Y6" i="4"/>
  <c r="CE27" i="4" s="1"/>
  <c r="Y1" i="4"/>
  <c r="X6" i="4"/>
  <c r="AA3" i="4"/>
  <c r="AB6" i="4"/>
  <c r="V44" i="4"/>
  <c r="R45" i="4"/>
  <c r="R48" i="4"/>
  <c r="Q44" i="4" a="1"/>
  <c r="Q44" i="4" s="1"/>
  <c r="Q49" i="4"/>
  <c r="T45" i="4"/>
  <c r="U48" i="4"/>
  <c r="S48" i="4"/>
  <c r="R43" i="4"/>
  <c r="Q48" i="4"/>
  <c r="BY26" i="4" a="1"/>
  <c r="AA2" i="4"/>
  <c r="X2" i="4" a="1"/>
  <c r="CE26" i="4" a="1"/>
  <c r="V8" i="4" a="1"/>
  <c r="Y44" i="4" a="1"/>
  <c r="AB7" i="4"/>
  <c r="T46" i="4" a="1"/>
  <c r="CF26" i="4" a="1"/>
  <c r="CJ24" i="4" l="1" a="1"/>
  <c r="CJ24" i="4" s="1"/>
  <c r="CI24" i="4" s="1"/>
  <c r="CF26" i="4"/>
  <c r="T46" i="4"/>
  <c r="CH27" i="4"/>
  <c r="Y44" i="4"/>
  <c r="V8" i="4"/>
  <c r="CE26" i="4"/>
  <c r="X2" i="4"/>
  <c r="CA27" i="4"/>
  <c r="BY26" i="4"/>
  <c r="BY27" i="4"/>
  <c r="S49" i="4"/>
  <c r="CC27" i="4"/>
  <c r="X7" i="4"/>
  <c r="CF27" i="4" s="1"/>
  <c r="Z7" i="4"/>
  <c r="CG27" i="4" s="1"/>
  <c r="CB27" i="4"/>
  <c r="AC2" i="4"/>
  <c r="U49" i="4" a="1"/>
  <c r="U49" i="4" s="1"/>
  <c r="T44" i="4"/>
  <c r="CH26" i="4" a="1"/>
  <c r="CD26" i="4" a="1"/>
  <c r="CA26" i="4" a="1"/>
  <c r="CG26" i="4" a="1"/>
  <c r="BZ28" i="4" a="1"/>
  <c r="R9" i="4" a="1"/>
  <c r="Q10" i="4" a="1"/>
  <c r="Q50" i="4" a="1"/>
  <c r="AA4" i="4" a="1"/>
  <c r="AA4" i="4" l="1"/>
  <c r="CD27" i="4" s="1"/>
  <c r="CJ27" i="4" s="1" a="1"/>
  <c r="CJ27" i="4" s="1"/>
  <c r="CI27" i="4" s="1"/>
  <c r="Q50" i="4"/>
  <c r="Q10" i="4"/>
  <c r="R9" i="4"/>
  <c r="BZ28" i="4"/>
  <c r="CG26" i="4"/>
  <c r="CA26" i="4"/>
  <c r="CD26" i="4"/>
  <c r="CH26" i="4"/>
  <c r="W8" i="4" a="1"/>
  <c r="W8" i="4" s="1"/>
  <c r="Y46" i="4" a="1"/>
  <c r="Y46" i="4" s="1"/>
  <c r="AB44" i="4" a="1"/>
  <c r="AB44" i="4" s="1"/>
  <c r="CC28" i="4" a="1"/>
  <c r="U9" i="4" a="1"/>
  <c r="R11" i="4" a="1"/>
  <c r="BZ29" i="4" a="1"/>
  <c r="CB28" i="4" a="1"/>
  <c r="X8" i="4" a="1"/>
  <c r="CJ26" i="4" l="1" a="1"/>
  <c r="CJ26" i="4" s="1"/>
  <c r="CI26" i="4" s="1"/>
  <c r="X8" i="4"/>
  <c r="CB28" i="4"/>
  <c r="BZ29" i="4"/>
  <c r="R11" i="4"/>
  <c r="U9" i="4"/>
  <c r="CC28" i="4"/>
  <c r="AC44" i="4"/>
  <c r="Q13" i="4"/>
  <c r="R8" i="4"/>
  <c r="U13" i="4"/>
  <c r="T10" i="4"/>
  <c r="S13" i="4"/>
  <c r="R10" i="4"/>
  <c r="R13" i="4"/>
  <c r="Z48" i="4"/>
  <c r="Y45" i="4"/>
  <c r="Y48" i="4"/>
  <c r="X49" i="4"/>
  <c r="X48" i="4"/>
  <c r="Y43" i="4"/>
  <c r="AA44" i="4" s="1"/>
  <c r="AB48" i="4"/>
  <c r="X44" i="4" a="1"/>
  <c r="X44" i="4" s="1"/>
  <c r="AA45" i="4"/>
  <c r="AC8" i="4" a="1"/>
  <c r="R51" i="4" a="1"/>
  <c r="U14" i="4"/>
  <c r="CH29" i="4" s="1" a="1"/>
  <c r="BY29" i="4" a="1"/>
  <c r="CE28" i="4" a="1"/>
  <c r="CF28" i="4" a="1"/>
  <c r="T9" i="4"/>
  <c r="CA29" i="4" s="1" a="1"/>
  <c r="CB29" i="4" a="1"/>
  <c r="CA28" i="4" a="1"/>
  <c r="Q9" i="4" a="1"/>
  <c r="CC29" i="4" a="1"/>
  <c r="AA46" i="4" a="1"/>
  <c r="BY28" i="4" a="1"/>
  <c r="CE29" i="4" a="1"/>
  <c r="CE29" i="4" l="1"/>
  <c r="BY28" i="4"/>
  <c r="AA46" i="4"/>
  <c r="CC29" i="4"/>
  <c r="Q9" i="4"/>
  <c r="CA28" i="4"/>
  <c r="CB29" i="4"/>
  <c r="CA29" i="4"/>
  <c r="CF28" i="4"/>
  <c r="CE28" i="4"/>
  <c r="BY29" i="4"/>
  <c r="CH29" i="4"/>
  <c r="R51" i="4"/>
  <c r="AC8" i="4"/>
  <c r="AB49" i="4" a="1"/>
  <c r="AB49" i="4" s="1"/>
  <c r="S14" i="4"/>
  <c r="Q14" i="4"/>
  <c r="V9" i="4"/>
  <c r="Z49" i="4"/>
  <c r="CF29" i="4" a="1"/>
  <c r="X10" i="4" a="1"/>
  <c r="Y9" i="4" a="1"/>
  <c r="X50" i="4" a="1"/>
  <c r="CG29" i="4" a="1"/>
  <c r="CD28" i="4" a="1"/>
  <c r="CG28" i="4" a="1"/>
  <c r="T11" i="4" a="1"/>
  <c r="BZ30" i="4" a="1"/>
  <c r="CH28" i="4" a="1"/>
  <c r="CH28" i="4" l="1"/>
  <c r="BZ30" i="4"/>
  <c r="T11" i="4"/>
  <c r="CG28" i="4"/>
  <c r="CD28" i="4"/>
  <c r="CG29" i="4"/>
  <c r="X50" i="4"/>
  <c r="Y9" i="4"/>
  <c r="X10" i="4"/>
  <c r="CF29" i="4"/>
  <c r="R53" i="4" a="1"/>
  <c r="R53" i="4" s="1"/>
  <c r="U51" i="4" a="1"/>
  <c r="U51" i="4" s="1"/>
  <c r="P15" i="4" a="1"/>
  <c r="P15" i="4" s="1"/>
  <c r="CD29" i="4" a="1"/>
  <c r="CC30" i="4" a="1"/>
  <c r="CB30" i="4" a="1"/>
  <c r="Q15" i="4" a="1"/>
  <c r="Y11" i="4" a="1"/>
  <c r="AB9" i="4" a="1"/>
  <c r="BZ31" i="4" a="1"/>
  <c r="CJ28" i="4" l="1" a="1"/>
  <c r="CJ28" i="4" s="1"/>
  <c r="CI28" i="4" s="1"/>
  <c r="BZ31" i="4"/>
  <c r="AB9" i="4"/>
  <c r="Y11" i="4"/>
  <c r="Q15" i="4"/>
  <c r="CB30" i="4"/>
  <c r="CC30" i="4"/>
  <c r="CD29" i="4"/>
  <c r="CJ29" i="4" s="1" a="1"/>
  <c r="CJ29" i="4" s="1"/>
  <c r="CI29" i="4" s="1"/>
  <c r="Y8" i="4"/>
  <c r="X13" i="4"/>
  <c r="AB13" i="4"/>
  <c r="Z13" i="4"/>
  <c r="Y10" i="4"/>
  <c r="Y13" i="4"/>
  <c r="AA10" i="4"/>
  <c r="V51" i="4"/>
  <c r="Q56" i="4"/>
  <c r="Q55" i="4"/>
  <c r="T52" i="4"/>
  <c r="Q51" i="4" a="1"/>
  <c r="Q51" i="4" s="1"/>
  <c r="R52" i="4"/>
  <c r="U55" i="4"/>
  <c r="R55" i="4"/>
  <c r="R50" i="4"/>
  <c r="T51" i="4" s="1"/>
  <c r="S55" i="4"/>
  <c r="X9" i="4" a="1"/>
  <c r="CC31" i="4" a="1"/>
  <c r="V15" i="4" a="1"/>
  <c r="T53" i="4" a="1"/>
  <c r="BY30" i="4" a="1"/>
  <c r="AA9" i="4"/>
  <c r="CA31" i="4" s="1" a="1"/>
  <c r="CB31" i="4" a="1"/>
  <c r="CE31" i="4" a="1"/>
  <c r="CE30" i="4" a="1"/>
  <c r="Y51" i="4" a="1"/>
  <c r="AB14" i="4"/>
  <c r="CH31" i="4" s="1" a="1"/>
  <c r="BY31" i="4" a="1"/>
  <c r="CF30" i="4" a="1"/>
  <c r="CA30" i="4" a="1"/>
  <c r="CA30" i="4" l="1"/>
  <c r="CF30" i="4"/>
  <c r="BY31" i="4"/>
  <c r="CH31" i="4"/>
  <c r="Y51" i="4"/>
  <c r="CE30" i="4"/>
  <c r="CE31" i="4"/>
  <c r="CB31" i="4"/>
  <c r="CA31" i="4"/>
  <c r="BY30" i="4"/>
  <c r="T53" i="4"/>
  <c r="V15" i="4"/>
  <c r="CC31" i="4"/>
  <c r="X9" i="4"/>
  <c r="S56" i="4"/>
  <c r="AC9" i="4"/>
  <c r="U56" i="4" a="1"/>
  <c r="U56" i="4" s="1"/>
  <c r="Z14" i="4"/>
  <c r="X14" i="4"/>
  <c r="CH30" i="4" a="1"/>
  <c r="CD30" i="4" a="1"/>
  <c r="CF31" i="4" a="1"/>
  <c r="R16" i="4" a="1"/>
  <c r="Q17" i="4" a="1"/>
  <c r="Q57" i="4" a="1"/>
  <c r="AA11" i="4" a="1"/>
  <c r="CG31" i="4" a="1"/>
  <c r="CG30" i="4" a="1"/>
  <c r="BZ32" i="4" a="1"/>
  <c r="BZ32" i="4" l="1"/>
  <c r="CG30" i="4"/>
  <c r="CG31" i="4"/>
  <c r="AA11" i="4"/>
  <c r="Q57" i="4"/>
  <c r="Q17" i="4"/>
  <c r="R16" i="4"/>
  <c r="CF31" i="4"/>
  <c r="CD30" i="4"/>
  <c r="CH30" i="4"/>
  <c r="AB51" i="4" a="1"/>
  <c r="AB51" i="4" s="1"/>
  <c r="Y53" i="4" a="1"/>
  <c r="Y53" i="4" s="1"/>
  <c r="W15" i="4" a="1"/>
  <c r="W15" i="4" s="1"/>
  <c r="CD31" i="4" a="1"/>
  <c r="CC32" i="4" a="1"/>
  <c r="X15" i="4" a="1"/>
  <c r="CB32" i="4" a="1"/>
  <c r="U16" i="4" a="1"/>
  <c r="R18" i="4" a="1"/>
  <c r="BZ33" i="4" a="1"/>
  <c r="CJ30" i="4" l="1" a="1"/>
  <c r="CJ30" i="4" s="1"/>
  <c r="CI30" i="4" s="1"/>
  <c r="BZ33" i="4"/>
  <c r="R18" i="4"/>
  <c r="U16" i="4"/>
  <c r="CB32" i="4"/>
  <c r="X15" i="4"/>
  <c r="CC32" i="4"/>
  <c r="CD31" i="4"/>
  <c r="CJ31" i="4" s="1" a="1"/>
  <c r="CJ31" i="4" s="1"/>
  <c r="CI31" i="4" s="1"/>
  <c r="R15" i="4"/>
  <c r="U20" i="4"/>
  <c r="T17" i="4"/>
  <c r="R20" i="4"/>
  <c r="S20" i="4"/>
  <c r="R17" i="4"/>
  <c r="Q20" i="4"/>
  <c r="AC51" i="4"/>
  <c r="AB55" i="4"/>
  <c r="X51" i="4" a="1"/>
  <c r="X51" i="4" s="1"/>
  <c r="AA52" i="4"/>
  <c r="Z55" i="4"/>
  <c r="Y55" i="4"/>
  <c r="X55" i="4"/>
  <c r="Y52" i="4"/>
  <c r="X56" i="4"/>
  <c r="Y50" i="4"/>
  <c r="AA51" i="4" s="1"/>
  <c r="BY32" i="4" a="1"/>
  <c r="CA32" i="4" a="1"/>
  <c r="T16" i="4"/>
  <c r="CA33" i="4" s="1" a="1"/>
  <c r="CB33" i="4" a="1"/>
  <c r="CE33" i="4" a="1"/>
  <c r="AC15" i="4" a="1"/>
  <c r="CE32" i="4" a="1"/>
  <c r="CF32" i="4" a="1"/>
  <c r="Q16" i="4" a="1"/>
  <c r="CC33" i="4" a="1"/>
  <c r="AA53" i="4" a="1"/>
  <c r="R58" i="4" a="1"/>
  <c r="U21" i="4"/>
  <c r="CH33" i="4" s="1" a="1"/>
  <c r="BY33" i="4" a="1"/>
  <c r="BY33" i="4" l="1"/>
  <c r="CH33" i="4"/>
  <c r="R58" i="4"/>
  <c r="AA53" i="4"/>
  <c r="CC33" i="4"/>
  <c r="Q16" i="4"/>
  <c r="CF32" i="4"/>
  <c r="CE32" i="4"/>
  <c r="AC15" i="4"/>
  <c r="CE33" i="4"/>
  <c r="CB33" i="4"/>
  <c r="CA33" i="4"/>
  <c r="CA32" i="4"/>
  <c r="BY32" i="4"/>
  <c r="Q21" i="4"/>
  <c r="S21" i="4"/>
  <c r="Z56" i="4"/>
  <c r="V16" i="4"/>
  <c r="AB56" i="4" a="1"/>
  <c r="AB56" i="4" s="1"/>
  <c r="CD32" i="4" a="1"/>
  <c r="CG32" i="4" a="1"/>
  <c r="T18" i="4" a="1"/>
  <c r="CG33" i="4" a="1"/>
  <c r="CF33" i="4" a="1"/>
  <c r="X17" i="4" a="1"/>
  <c r="Y16" i="4" a="1"/>
  <c r="X57" i="4" a="1"/>
  <c r="R60" i="4" a="1"/>
  <c r="U58" i="4" a="1"/>
  <c r="BZ34" i="4" a="1"/>
  <c r="CH32" i="4" a="1"/>
  <c r="CH32" i="4" l="1"/>
  <c r="BZ34" i="4"/>
  <c r="U58" i="4"/>
  <c r="R60" i="4"/>
  <c r="X57" i="4"/>
  <c r="Y16" i="4"/>
  <c r="X17" i="4"/>
  <c r="CF33" i="4"/>
  <c r="CG33" i="4"/>
  <c r="T18" i="4"/>
  <c r="CG32" i="4"/>
  <c r="CD32" i="4"/>
  <c r="P22" i="4" a="1"/>
  <c r="P22" i="4" s="1"/>
  <c r="CD33" i="4" a="1"/>
  <c r="CB34" i="4" a="1"/>
  <c r="Q58" i="4" a="1"/>
  <c r="CC34" i="4" a="1"/>
  <c r="Q22" i="4" a="1"/>
  <c r="Y18" i="4" a="1"/>
  <c r="AB16" i="4" a="1"/>
  <c r="BZ35" i="4" a="1"/>
  <c r="CJ32" i="4" l="1" a="1"/>
  <c r="CJ32" i="4" s="1"/>
  <c r="CI32" i="4" s="1"/>
  <c r="BZ35" i="4"/>
  <c r="AB16" i="4"/>
  <c r="Y18" i="4"/>
  <c r="Q22" i="4"/>
  <c r="CC34" i="4"/>
  <c r="Q58" i="4"/>
  <c r="CB34" i="4"/>
  <c r="CD33" i="4"/>
  <c r="CJ33" i="4" s="1" a="1"/>
  <c r="CJ33" i="4" s="1"/>
  <c r="CI33" i="4" s="1"/>
  <c r="Y17" i="4"/>
  <c r="X20" i="4"/>
  <c r="AB20" i="4"/>
  <c r="Y20" i="4"/>
  <c r="Y15" i="4"/>
  <c r="Z20" i="4"/>
  <c r="AA17" i="4"/>
  <c r="T59" i="4"/>
  <c r="R59" i="4"/>
  <c r="U62" i="4"/>
  <c r="R62" i="4"/>
  <c r="R57" i="4"/>
  <c r="S62" i="4"/>
  <c r="Q62" i="4"/>
  <c r="V58" i="4"/>
  <c r="AA16" i="4"/>
  <c r="CA35" i="4" s="1" a="1"/>
  <c r="CB35" i="4" a="1"/>
  <c r="T58" i="4"/>
  <c r="CA34" i="4" s="1" a="1"/>
  <c r="BY34" i="4" a="1"/>
  <c r="U63" i="4" a="1"/>
  <c r="Y58" i="4" a="1"/>
  <c r="AB21" i="4"/>
  <c r="CH35" i="4" s="1" a="1"/>
  <c r="BY35" i="4" a="1"/>
  <c r="X16" i="4" a="1"/>
  <c r="CC35" i="4" a="1"/>
  <c r="CE34" i="4" a="1"/>
  <c r="V22" i="4" a="1"/>
  <c r="CE35" i="4" a="1"/>
  <c r="T60" i="4" a="1"/>
  <c r="T60" i="4" l="1"/>
  <c r="CE35" i="4"/>
  <c r="V22" i="4"/>
  <c r="CE34" i="4"/>
  <c r="CC35" i="4"/>
  <c r="X16" i="4"/>
  <c r="BY35" i="4"/>
  <c r="CH35" i="4"/>
  <c r="Y58" i="4"/>
  <c r="U63" i="4"/>
  <c r="BY34" i="4"/>
  <c r="CA34" i="4"/>
  <c r="CB35" i="4"/>
  <c r="CA35" i="4"/>
  <c r="Q63" i="4"/>
  <c r="S63" i="4"/>
  <c r="X21" i="4"/>
  <c r="Z21" i="4"/>
  <c r="AC16" i="4"/>
  <c r="CD34" i="4" a="1"/>
  <c r="BZ36" i="4" a="1"/>
  <c r="CF35" i="4" a="1"/>
  <c r="AA18" i="4" a="1"/>
  <c r="CF34" i="4" a="1"/>
  <c r="CH34" i="4" a="1"/>
  <c r="CG35" i="4" a="1"/>
  <c r="CG34" i="4" a="1"/>
  <c r="R23" i="4" a="1"/>
  <c r="Q24" i="4" a="1"/>
  <c r="Q64" i="4" a="1"/>
  <c r="Q64" i="4" l="1"/>
  <c r="Q24" i="4"/>
  <c r="R23" i="4"/>
  <c r="CG34" i="4"/>
  <c r="CG35" i="4"/>
  <c r="CH34" i="4"/>
  <c r="CF34" i="4"/>
  <c r="AA18" i="4"/>
  <c r="CF35" i="4"/>
  <c r="BZ36" i="4"/>
  <c r="CD34" i="4"/>
  <c r="W22" i="4" a="1"/>
  <c r="W22" i="4" s="1"/>
  <c r="Y60" i="4" a="1"/>
  <c r="Y60" i="4" s="1"/>
  <c r="AB58" i="4" a="1"/>
  <c r="AB58" i="4" s="1"/>
  <c r="CB36" i="4" a="1"/>
  <c r="X22" i="4" a="1"/>
  <c r="U23" i="4" a="1"/>
  <c r="R25" i="4" a="1"/>
  <c r="BZ37" i="4" a="1"/>
  <c r="CC36" i="4" a="1"/>
  <c r="CD35" i="4" a="1"/>
  <c r="CJ34" i="4" l="1" a="1"/>
  <c r="CJ34" i="4" s="1"/>
  <c r="CI34" i="4" s="1"/>
  <c r="CD35" i="4"/>
  <c r="CJ35" i="4" s="1" a="1"/>
  <c r="CJ35" i="4" s="1"/>
  <c r="CI35" i="4" s="1"/>
  <c r="CC36" i="4"/>
  <c r="BZ37" i="4"/>
  <c r="R25" i="4"/>
  <c r="U23" i="4"/>
  <c r="X22" i="4"/>
  <c r="CB36" i="4"/>
  <c r="AA59" i="4"/>
  <c r="Z62" i="4"/>
  <c r="Y59" i="4"/>
  <c r="X63" i="4"/>
  <c r="AB62" i="4"/>
  <c r="Y62" i="4"/>
  <c r="X62" i="4"/>
  <c r="Y57" i="4"/>
  <c r="AA58" i="4" s="1"/>
  <c r="X58" i="4" a="1"/>
  <c r="X58" i="4" s="1"/>
  <c r="R27" i="4"/>
  <c r="Q27" i="4"/>
  <c r="R22" i="4"/>
  <c r="U27" i="4"/>
  <c r="R24" i="4"/>
  <c r="T24" i="4"/>
  <c r="S27" i="4"/>
  <c r="AC58" i="4"/>
  <c r="CE37" i="4" a="1"/>
  <c r="CF36" i="4" a="1"/>
  <c r="R65" i="4" a="1"/>
  <c r="U28" i="4"/>
  <c r="CH37" i="4" s="1" a="1"/>
  <c r="BY37" i="4" a="1"/>
  <c r="AA60" i="4" a="1"/>
  <c r="Q23" i="4" a="1"/>
  <c r="CC37" i="4" a="1"/>
  <c r="T23" i="4"/>
  <c r="CA37" i="4" s="1" a="1"/>
  <c r="CB37" i="4" a="1"/>
  <c r="CE36" i="4" a="1"/>
  <c r="CA36" i="4" a="1"/>
  <c r="AC22" i="4" a="1"/>
  <c r="BY36" i="4" a="1"/>
  <c r="BY36" i="4" l="1"/>
  <c r="AC22" i="4"/>
  <c r="CA36" i="4"/>
  <c r="CE36" i="4"/>
  <c r="CB37" i="4"/>
  <c r="CA37" i="4"/>
  <c r="CC37" i="4"/>
  <c r="Q23" i="4"/>
  <c r="AA60" i="4"/>
  <c r="BY37" i="4"/>
  <c r="CH37" i="4"/>
  <c r="R65" i="4"/>
  <c r="CF36" i="4"/>
  <c r="CE37" i="4"/>
  <c r="AB63" i="4" a="1"/>
  <c r="AB63" i="4" s="1"/>
  <c r="Z63" i="4"/>
  <c r="V23" i="4"/>
  <c r="S28" i="4"/>
  <c r="Q28" i="4"/>
  <c r="CD36" i="4" a="1"/>
  <c r="BZ38" i="4" a="1"/>
  <c r="CH36" i="4" a="1"/>
  <c r="X24" i="4" a="1"/>
  <c r="X64" i="4" a="1"/>
  <c r="Y23" i="4" a="1"/>
  <c r="CG37" i="4" a="1"/>
  <c r="T25" i="4" a="1"/>
  <c r="CF37" i="4" a="1"/>
  <c r="CG36" i="4" a="1"/>
  <c r="CG36" i="4" l="1"/>
  <c r="CF37" i="4"/>
  <c r="T25" i="4"/>
  <c r="CG37" i="4"/>
  <c r="Y23" i="4"/>
  <c r="X64" i="4"/>
  <c r="X24" i="4"/>
  <c r="CH36" i="4"/>
  <c r="BZ38" i="4"/>
  <c r="CD36" i="4"/>
  <c r="P29" i="4" a="1"/>
  <c r="P29" i="4" s="1"/>
  <c r="R67" i="4" a="1"/>
  <c r="R67" i="4" s="1"/>
  <c r="U65" i="4" a="1"/>
  <c r="U65" i="4" s="1"/>
  <c r="CD37" i="4" a="1"/>
  <c r="CC38" i="4" a="1"/>
  <c r="Q29" i="4" a="1"/>
  <c r="AB23" i="4" a="1"/>
  <c r="Y25" i="4" a="1"/>
  <c r="BZ39" i="4" a="1"/>
  <c r="CB38" i="4" a="1"/>
  <c r="CJ36" i="4" l="1" a="1"/>
  <c r="CJ36" i="4" s="1"/>
  <c r="CI36" i="4" s="1"/>
  <c r="CB38" i="4"/>
  <c r="BZ39" i="4"/>
  <c r="Y25" i="4"/>
  <c r="AB23" i="4"/>
  <c r="Q29" i="4"/>
  <c r="CC38" i="4"/>
  <c r="CD37" i="4"/>
  <c r="CJ37" i="4" s="1" a="1"/>
  <c r="CJ37" i="4" s="1"/>
  <c r="CI37" i="4" s="1"/>
  <c r="V65" i="4"/>
  <c r="Y24" i="4"/>
  <c r="Z27" i="4"/>
  <c r="Y27" i="4"/>
  <c r="X27" i="4"/>
  <c r="AA24" i="4"/>
  <c r="Y22" i="4"/>
  <c r="AB27" i="4"/>
  <c r="R64" i="4"/>
  <c r="T66" i="4"/>
  <c r="Q65" i="4" a="1"/>
  <c r="Q65" i="4" s="1"/>
  <c r="R69" i="4"/>
  <c r="U69" i="4"/>
  <c r="R66" i="4"/>
  <c r="S69" i="4"/>
  <c r="Q69" i="4"/>
  <c r="Q70" i="4"/>
  <c r="BY38" i="4" a="1"/>
  <c r="CF38" i="4" a="1"/>
  <c r="T67" i="4" a="1"/>
  <c r="AA23" i="4"/>
  <c r="CA39" i="4" s="1" a="1"/>
  <c r="CB39" i="4" a="1"/>
  <c r="CE38" i="4" a="1"/>
  <c r="V29" i="4" a="1"/>
  <c r="X23" i="4" a="1"/>
  <c r="CC39" i="4" a="1"/>
  <c r="CE39" i="4" a="1"/>
  <c r="Y65" i="4" a="1"/>
  <c r="AB28" i="4"/>
  <c r="CH39" i="4" s="1" a="1"/>
  <c r="BY39" i="4" a="1"/>
  <c r="BY39" i="4" l="1"/>
  <c r="CH39" i="4"/>
  <c r="Y65" i="4"/>
  <c r="CE39" i="4"/>
  <c r="CC39" i="4"/>
  <c r="X23" i="4"/>
  <c r="V29" i="4"/>
  <c r="CE38" i="4"/>
  <c r="CB39" i="4"/>
  <c r="CA39" i="4"/>
  <c r="T67" i="4"/>
  <c r="CF38" i="4"/>
  <c r="BY38" i="4"/>
  <c r="Z28" i="4"/>
  <c r="X28" i="4"/>
  <c r="S70" i="4"/>
  <c r="AC23" i="4"/>
  <c r="U70" i="4" a="1"/>
  <c r="U70" i="4" s="1"/>
  <c r="T65" i="4"/>
  <c r="CH38" i="4" a="1"/>
  <c r="AB65" i="4" a="1"/>
  <c r="Y67" i="4" a="1"/>
  <c r="BZ40" i="4" a="1"/>
  <c r="CD38" i="4" a="1"/>
  <c r="CA38" i="4" a="1"/>
  <c r="CG38" i="4" a="1"/>
  <c r="AA25" i="4" a="1"/>
  <c r="CG39" i="4" a="1"/>
  <c r="R30" i="4" a="1"/>
  <c r="Q31" i="4" a="1"/>
  <c r="Q71" i="4" a="1"/>
  <c r="CF39" i="4" a="1"/>
  <c r="CF39" i="4" l="1"/>
  <c r="Q71" i="4"/>
  <c r="Q31" i="4"/>
  <c r="R30" i="4"/>
  <c r="CG39" i="4"/>
  <c r="AA25" i="4"/>
  <c r="CG38" i="4"/>
  <c r="CA38" i="4"/>
  <c r="CD38" i="4"/>
  <c r="BZ40" i="4"/>
  <c r="Y67" i="4"/>
  <c r="AB65" i="4"/>
  <c r="CH38" i="4"/>
  <c r="W29" i="4" a="1"/>
  <c r="W29" i="4" s="1"/>
  <c r="X65" i="4" a="1"/>
  <c r="CC40" i="4" a="1"/>
  <c r="R32" i="4" a="1"/>
  <c r="U30" i="4" a="1"/>
  <c r="BZ41" i="4" a="1"/>
  <c r="CB40" i="4" a="1"/>
  <c r="CD39" i="4" a="1"/>
  <c r="X29" i="4" a="1"/>
  <c r="CJ38" i="4" l="1" a="1"/>
  <c r="CJ38" i="4" s="1"/>
  <c r="CI38" i="4" s="1"/>
  <c r="X29" i="4"/>
  <c r="CD39" i="4"/>
  <c r="CJ39" i="4" s="1" a="1"/>
  <c r="CJ39" i="4" s="1"/>
  <c r="CI39" i="4" s="1"/>
  <c r="CB40" i="4"/>
  <c r="BZ41" i="4"/>
  <c r="U30" i="4"/>
  <c r="R32" i="4"/>
  <c r="CC40" i="4"/>
  <c r="X65" i="4"/>
  <c r="AC65" i="4"/>
  <c r="R31" i="4"/>
  <c r="R34" i="4"/>
  <c r="U34" i="4"/>
  <c r="T31" i="4"/>
  <c r="S34" i="4"/>
  <c r="Q34" i="4"/>
  <c r="R29" i="4"/>
  <c r="X69" i="4"/>
  <c r="AB69" i="4"/>
  <c r="Y66" i="4"/>
  <c r="AA66" i="4"/>
  <c r="Z69" i="4"/>
  <c r="Y69" i="4"/>
  <c r="Y64" i="4"/>
  <c r="AC29" i="4" a="1"/>
  <c r="CE40" i="4" a="1"/>
  <c r="T30" i="4"/>
  <c r="CA41" i="4" s="1" a="1"/>
  <c r="CB41" i="4" a="1"/>
  <c r="AA65" i="4"/>
  <c r="CA40" i="4" s="1" a="1"/>
  <c r="BY40" i="4" a="1"/>
  <c r="AB70" i="4" a="1"/>
  <c r="CE41" i="4" a="1"/>
  <c r="AA67" i="4" a="1"/>
  <c r="R72" i="4" a="1"/>
  <c r="U35" i="4"/>
  <c r="CH41" i="4" s="1" a="1"/>
  <c r="BY41" i="4" a="1"/>
  <c r="Q30" i="4" a="1"/>
  <c r="CC41" i="4" a="1"/>
  <c r="CC41" i="4" l="1"/>
  <c r="Q30" i="4"/>
  <c r="BY41" i="4"/>
  <c r="CH41" i="4"/>
  <c r="R72" i="4"/>
  <c r="AA67" i="4"/>
  <c r="CE41" i="4"/>
  <c r="AB70" i="4"/>
  <c r="BY40" i="4"/>
  <c r="CA40" i="4"/>
  <c r="CB41" i="4"/>
  <c r="CA41" i="4"/>
  <c r="CE40" i="4"/>
  <c r="AC29" i="4"/>
  <c r="S35" i="4"/>
  <c r="Q35" i="4"/>
  <c r="V30" i="4"/>
  <c r="Z70" i="4"/>
  <c r="X70" i="4"/>
  <c r="T32" i="4" a="1"/>
  <c r="CG40" i="4" a="1"/>
  <c r="CD40" i="4" a="1"/>
  <c r="CH40" i="4" a="1"/>
  <c r="CF40" i="4" a="1"/>
  <c r="BZ42" i="4" a="1"/>
  <c r="Y30" i="4" a="1"/>
  <c r="X71" i="4" a="1"/>
  <c r="X31" i="4" a="1"/>
  <c r="CG41" i="4" a="1"/>
  <c r="CF41" i="4" a="1"/>
  <c r="CF41" i="4" l="1"/>
  <c r="CG41" i="4"/>
  <c r="X31" i="4"/>
  <c r="X71" i="4"/>
  <c r="Y30" i="4"/>
  <c r="BZ42" i="4"/>
  <c r="CF40" i="4"/>
  <c r="CH40" i="4"/>
  <c r="CD40" i="4"/>
  <c r="CG40" i="4"/>
  <c r="T32" i="4"/>
  <c r="P36" i="4" a="1"/>
  <c r="P36" i="4" s="1"/>
  <c r="U72" i="4" a="1"/>
  <c r="U72" i="4" s="1"/>
  <c r="R74" i="4" a="1"/>
  <c r="R74" i="4" s="1"/>
  <c r="Q36" i="4" a="1"/>
  <c r="CD41" i="4" a="1"/>
  <c r="AB30" i="4" a="1"/>
  <c r="Y32" i="4" a="1"/>
  <c r="BZ43" i="4" a="1"/>
  <c r="CB42" i="4" a="1"/>
  <c r="CC42" i="4" a="1"/>
  <c r="CJ40" i="4" l="1" a="1"/>
  <c r="CJ40" i="4" s="1"/>
  <c r="CI40" i="4" s="1"/>
  <c r="CC42" i="4"/>
  <c r="CB42" i="4"/>
  <c r="BZ43" i="4"/>
  <c r="Y32" i="4"/>
  <c r="AB30" i="4"/>
  <c r="CD41" i="4"/>
  <c r="CJ41" i="4" s="1" a="1"/>
  <c r="CJ41" i="4" s="1"/>
  <c r="CI41" i="4" s="1"/>
  <c r="Q36" i="4"/>
  <c r="R73" i="4"/>
  <c r="Q76" i="4"/>
  <c r="U76" i="4"/>
  <c r="R76" i="4"/>
  <c r="Q72" i="4" a="1"/>
  <c r="Q72" i="4" s="1"/>
  <c r="Q77" i="4"/>
  <c r="R71" i="4"/>
  <c r="S76" i="4"/>
  <c r="T73" i="4"/>
  <c r="V72" i="4"/>
  <c r="Y34" i="4"/>
  <c r="Y29" i="4"/>
  <c r="X34" i="4"/>
  <c r="AB34" i="4"/>
  <c r="AA31" i="4"/>
  <c r="Z34" i="4"/>
  <c r="Y31" i="4"/>
  <c r="Y72" i="4" a="1"/>
  <c r="AB35" i="4"/>
  <c r="CH43" i="4" s="1" a="1"/>
  <c r="BY43" i="4" a="1"/>
  <c r="CF42" i="4" a="1"/>
  <c r="CE42" i="4" a="1"/>
  <c r="CE43" i="4" a="1"/>
  <c r="X30" i="4" a="1"/>
  <c r="CC43" i="4" a="1"/>
  <c r="T74" i="4" a="1"/>
  <c r="AA30" i="4"/>
  <c r="CA43" i="4" s="1" a="1"/>
  <c r="CB43" i="4" a="1"/>
  <c r="BY42" i="4" a="1"/>
  <c r="V36" i="4" a="1"/>
  <c r="V36" i="4" l="1"/>
  <c r="BY42" i="4"/>
  <c r="CB43" i="4"/>
  <c r="CA43" i="4"/>
  <c r="T74" i="4"/>
  <c r="CC43" i="4"/>
  <c r="X30" i="4"/>
  <c r="CE43" i="4"/>
  <c r="CE42" i="4"/>
  <c r="CF42" i="4"/>
  <c r="BY43" i="4"/>
  <c r="CH43" i="4"/>
  <c r="Y72" i="4"/>
  <c r="U77" i="4" a="1"/>
  <c r="U77" i="4" s="1"/>
  <c r="AC30" i="4"/>
  <c r="X35" i="4"/>
  <c r="Z35" i="4"/>
  <c r="S77" i="4"/>
  <c r="T72" i="4"/>
  <c r="R37" i="4" a="1"/>
  <c r="Q38" i="4" a="1"/>
  <c r="Q78" i="4" a="1"/>
  <c r="CG43" i="4" a="1"/>
  <c r="CA42" i="4" a="1"/>
  <c r="CD42" i="4" a="1"/>
  <c r="AA32" i="4" a="1"/>
  <c r="CF43" i="4" a="1"/>
  <c r="CG42" i="4" a="1"/>
  <c r="BZ44" i="4" a="1"/>
  <c r="CH42" i="4" a="1"/>
  <c r="CH42" i="4" l="1"/>
  <c r="BZ44" i="4"/>
  <c r="CG42" i="4"/>
  <c r="CF43" i="4"/>
  <c r="AA32" i="4"/>
  <c r="CD42" i="4"/>
  <c r="CA42" i="4"/>
  <c r="CG43" i="4"/>
  <c r="Q78" i="4"/>
  <c r="Q38" i="4"/>
  <c r="R37" i="4"/>
  <c r="AB72" i="4" a="1"/>
  <c r="AB72" i="4" s="1"/>
  <c r="Y74" i="4" a="1"/>
  <c r="Y74" i="4" s="1"/>
  <c r="W36" i="4" a="1"/>
  <c r="W36" i="4" s="1"/>
  <c r="R39" i="4" a="1"/>
  <c r="U37" i="4" a="1"/>
  <c r="BZ45" i="4" a="1"/>
  <c r="CB44" i="4" a="1"/>
  <c r="X36" i="4" a="1"/>
  <c r="CD43" i="4" a="1"/>
  <c r="CC44" i="4" a="1"/>
  <c r="CJ42" i="4" l="1" a="1"/>
  <c r="CJ42" i="4" s="1"/>
  <c r="CI42" i="4" s="1"/>
  <c r="CC44" i="4"/>
  <c r="CD43" i="4"/>
  <c r="CJ43" i="4" s="1" a="1"/>
  <c r="CJ43" i="4" s="1"/>
  <c r="CI43" i="4" s="1"/>
  <c r="X36" i="4"/>
  <c r="CB44" i="4"/>
  <c r="BZ45" i="4"/>
  <c r="U37" i="4"/>
  <c r="R39" i="4"/>
  <c r="Y76" i="4"/>
  <c r="X76" i="4"/>
  <c r="X77" i="4"/>
  <c r="Y71" i="4"/>
  <c r="AA72" i="4" s="1"/>
  <c r="AB76" i="4"/>
  <c r="X72" i="4" a="1"/>
  <c r="X72" i="4" s="1"/>
  <c r="AA73" i="4"/>
  <c r="Y73" i="4"/>
  <c r="Z76" i="4"/>
  <c r="AC72" i="4"/>
  <c r="U41" i="4"/>
  <c r="T38" i="4"/>
  <c r="S41" i="4"/>
  <c r="R38" i="4"/>
  <c r="R41" i="4"/>
  <c r="Q41" i="4"/>
  <c r="R36" i="4"/>
  <c r="R79" i="4" a="1"/>
  <c r="U42" i="4"/>
  <c r="CH45" i="4" s="1" a="1"/>
  <c r="BY45" i="4" a="1"/>
  <c r="CF44" i="4" a="1"/>
  <c r="CA44" i="4" a="1"/>
  <c r="AA74" i="4" a="1"/>
  <c r="AC36" i="4" a="1"/>
  <c r="BY44" i="4" a="1"/>
  <c r="CE45" i="4" a="1"/>
  <c r="CE44" i="4" a="1"/>
  <c r="T37" i="4"/>
  <c r="CA45" i="4" s="1" a="1"/>
  <c r="CB45" i="4" a="1"/>
  <c r="Q37" i="4" a="1"/>
  <c r="CC45" i="4" a="1"/>
  <c r="CC45" i="4" l="1"/>
  <c r="Q37" i="4"/>
  <c r="CB45" i="4"/>
  <c r="CA45" i="4"/>
  <c r="CE44" i="4"/>
  <c r="CE45" i="4"/>
  <c r="BY44" i="4"/>
  <c r="AC36" i="4"/>
  <c r="AA74" i="4"/>
  <c r="CA44" i="4"/>
  <c r="CF44" i="4"/>
  <c r="BY45" i="4"/>
  <c r="CH45" i="4"/>
  <c r="R79" i="4"/>
  <c r="S42" i="4"/>
  <c r="Q42" i="4"/>
  <c r="V37" i="4"/>
  <c r="Z77" i="4"/>
  <c r="AB77" i="4" a="1"/>
  <c r="AB77" i="4" s="1"/>
  <c r="CD44" i="4" a="1"/>
  <c r="BZ46" i="4" a="1"/>
  <c r="CG45" i="4" a="1"/>
  <c r="T39" i="4" a="1"/>
  <c r="CG44" i="4" a="1"/>
  <c r="CH44" i="4" a="1"/>
  <c r="Y37" i="4" a="1"/>
  <c r="X38" i="4" a="1"/>
  <c r="X78" i="4" a="1"/>
  <c r="CF45" i="4" a="1"/>
  <c r="CF45" i="4" l="1"/>
  <c r="X78" i="4"/>
  <c r="X38" i="4"/>
  <c r="Y37" i="4"/>
  <c r="CH44" i="4"/>
  <c r="CG44" i="4"/>
  <c r="T39" i="4"/>
  <c r="CG45" i="4"/>
  <c r="BZ46" i="4"/>
  <c r="CD44" i="4"/>
  <c r="AE1" i="4" a="1"/>
  <c r="AE1" i="4" s="1"/>
  <c r="R81" i="4" a="1"/>
  <c r="R81" i="4" s="1"/>
  <c r="U79" i="4" a="1"/>
  <c r="U79" i="4" s="1"/>
  <c r="AB37" i="4" a="1"/>
  <c r="Y39" i="4" a="1"/>
  <c r="BZ47" i="4" a="1"/>
  <c r="CC46" i="4" a="1"/>
  <c r="CB46" i="4" a="1"/>
  <c r="CD45" i="4" a="1"/>
  <c r="AF1" i="4" a="1"/>
  <c r="CJ44" i="4" l="1" a="1"/>
  <c r="CJ44" i="4" s="1"/>
  <c r="CI44" i="4" s="1"/>
  <c r="AF1" i="4"/>
  <c r="CD45" i="4"/>
  <c r="CJ45" i="4" s="1" a="1"/>
  <c r="CJ45" i="4" s="1"/>
  <c r="CI45" i="4" s="1"/>
  <c r="CB46" i="4"/>
  <c r="CC46" i="4"/>
  <c r="BZ47" i="4"/>
  <c r="Y39" i="4"/>
  <c r="AB37" i="4"/>
  <c r="V79" i="4"/>
  <c r="R83" i="4"/>
  <c r="T80" i="4"/>
  <c r="U83" i="4"/>
  <c r="S83" i="4"/>
  <c r="Q84" i="4"/>
  <c r="R78" i="4"/>
  <c r="T79" i="4" s="1"/>
  <c r="Q79" i="4" a="1"/>
  <c r="Q79" i="4" s="1"/>
  <c r="R80" i="4"/>
  <c r="Q83" i="4"/>
  <c r="Y41" i="4"/>
  <c r="Z41" i="4"/>
  <c r="Y36" i="4"/>
  <c r="Y38" i="4"/>
  <c r="X41" i="4"/>
  <c r="AB41" i="4"/>
  <c r="AA38" i="4"/>
  <c r="AK1" i="4" a="1"/>
  <c r="CA46" i="4" a="1"/>
  <c r="CE46" i="4" a="1"/>
  <c r="CE47" i="4" a="1"/>
  <c r="Y79" i="4" a="1"/>
  <c r="AB42" i="4"/>
  <c r="CH47" i="4" s="1" a="1"/>
  <c r="BY47" i="4" a="1"/>
  <c r="X37" i="4" a="1"/>
  <c r="CC47" i="4" a="1"/>
  <c r="CF46" i="4" a="1"/>
  <c r="AA37" i="4"/>
  <c r="CA47" i="4" s="1" a="1"/>
  <c r="CB47" i="4" a="1"/>
  <c r="BY46" i="4" a="1"/>
  <c r="T81" i="4" a="1"/>
  <c r="T81" i="4" l="1"/>
  <c r="BY46" i="4"/>
  <c r="CB47" i="4"/>
  <c r="CA47" i="4"/>
  <c r="CF46" i="4"/>
  <c r="CC47" i="4"/>
  <c r="X37" i="4"/>
  <c r="BY47" i="4"/>
  <c r="CH47" i="4"/>
  <c r="Y79" i="4"/>
  <c r="CE47" i="4"/>
  <c r="CE46" i="4"/>
  <c r="CA46" i="4"/>
  <c r="AK1" i="4"/>
  <c r="U84" i="4" a="1"/>
  <c r="U84" i="4" s="1"/>
  <c r="AC37" i="4"/>
  <c r="Z42" i="4"/>
  <c r="X42" i="4"/>
  <c r="S84" i="4"/>
  <c r="CD46" i="4" a="1"/>
  <c r="CG47" i="4" a="1"/>
  <c r="CG46" i="4" a="1"/>
  <c r="CH46" i="4" a="1"/>
  <c r="BZ48" i="4" a="1"/>
  <c r="CF47" i="4" a="1"/>
  <c r="AA39" i="4" a="1"/>
  <c r="AG2" i="4" a="1"/>
  <c r="AF3" i="4" a="1"/>
  <c r="AF43" i="4" a="1"/>
  <c r="AF43" i="4" l="1"/>
  <c r="AF3" i="4"/>
  <c r="AG2" i="4"/>
  <c r="AA39" i="4"/>
  <c r="CF47" i="4"/>
  <c r="BZ48" i="4"/>
  <c r="CH46" i="4"/>
  <c r="CG46" i="4"/>
  <c r="CG47" i="4"/>
  <c r="CD46" i="4"/>
  <c r="AL1" i="4" a="1"/>
  <c r="AL1" i="4" s="1"/>
  <c r="AB79" i="4" a="1"/>
  <c r="AB79" i="4" s="1"/>
  <c r="Y81" i="4" a="1"/>
  <c r="Y81" i="4" s="1"/>
  <c r="CD47" i="4" a="1"/>
  <c r="CB48" i="4" a="1"/>
  <c r="CC48" i="4" a="1"/>
  <c r="AJ2" i="4" a="1"/>
  <c r="AG4" i="4" a="1"/>
  <c r="AM1" i="4" a="1"/>
  <c r="CJ46" i="4" l="1" a="1"/>
  <c r="CJ46" i="4" s="1"/>
  <c r="CI46" i="4" s="1"/>
  <c r="AM1" i="4"/>
  <c r="AG4" i="4"/>
  <c r="AJ2" i="4"/>
  <c r="CC48" i="4"/>
  <c r="CB48" i="4"/>
  <c r="CD47" i="4"/>
  <c r="CJ47" i="4" s="1" a="1"/>
  <c r="CJ47" i="4" s="1"/>
  <c r="CI47" i="4" s="1"/>
  <c r="BZ49" i="4"/>
  <c r="AF6" i="4"/>
  <c r="AJ6" i="4"/>
  <c r="AI3" i="4"/>
  <c r="AG3" i="4"/>
  <c r="AG6" i="4"/>
  <c r="CE49" i="4" s="1"/>
  <c r="AG1" i="4"/>
  <c r="AH6" i="4"/>
  <c r="X84" i="4"/>
  <c r="X79" i="4" a="1"/>
  <c r="X79" i="4" s="1"/>
  <c r="AA80" i="4"/>
  <c r="Z83" i="4"/>
  <c r="Y80" i="4"/>
  <c r="Y83" i="4"/>
  <c r="Y78" i="4"/>
  <c r="AB83" i="4"/>
  <c r="X83" i="4"/>
  <c r="AC79" i="4"/>
  <c r="AR1" i="4" a="1"/>
  <c r="BY48" i="4" a="1"/>
  <c r="AF2" i="4" a="1"/>
  <c r="AI2" i="4"/>
  <c r="CE48" i="4" a="1"/>
  <c r="CF48" i="4" a="1"/>
  <c r="AG44" i="4" a="1"/>
  <c r="AJ7" i="4"/>
  <c r="AA81" i="4" a="1"/>
  <c r="AA81" i="4" l="1"/>
  <c r="CH49" i="4"/>
  <c r="AG44" i="4"/>
  <c r="CF48" i="4"/>
  <c r="CE48" i="4"/>
  <c r="CA49" i="4"/>
  <c r="AF2" i="4"/>
  <c r="BY48" i="4"/>
  <c r="AR1" i="4"/>
  <c r="BY49" i="4"/>
  <c r="Z84" i="4"/>
  <c r="CB49" i="4"/>
  <c r="AK2" i="4"/>
  <c r="CC49" i="4"/>
  <c r="AH7" i="4"/>
  <c r="CG49" i="4" s="1"/>
  <c r="AF7" i="4"/>
  <c r="CF49" i="4" s="1"/>
  <c r="AB84" i="4" a="1"/>
  <c r="AB84" i="4" s="1"/>
  <c r="AA79" i="4"/>
  <c r="CD48" i="4" a="1"/>
  <c r="AN2" i="4" a="1"/>
  <c r="AM43" i="4" a="1"/>
  <c r="AM3" i="4" a="1"/>
  <c r="CH48" i="4" a="1"/>
  <c r="BZ50" i="4" a="1"/>
  <c r="CG48" i="4" a="1"/>
  <c r="CA48" i="4" a="1"/>
  <c r="AI4" i="4" a="1"/>
  <c r="AI4" i="4" l="1"/>
  <c r="CD49" i="4" s="1"/>
  <c r="CJ49" i="4" s="1" a="1"/>
  <c r="CJ49" i="4" s="1"/>
  <c r="CI49" i="4" s="1"/>
  <c r="CA48" i="4"/>
  <c r="CG48" i="4"/>
  <c r="BZ50" i="4"/>
  <c r="CH48" i="4"/>
  <c r="AM3" i="4"/>
  <c r="AM43" i="4"/>
  <c r="AN2" i="4"/>
  <c r="CD48" i="4"/>
  <c r="AJ44" i="4" a="1"/>
  <c r="AJ44" i="4" s="1"/>
  <c r="AG46" i="4" a="1"/>
  <c r="AG46" i="4" s="1"/>
  <c r="AE8" i="4" a="1"/>
  <c r="AE8" i="4" s="1"/>
  <c r="AQ2" i="4" a="1"/>
  <c r="AN4" i="4" a="1"/>
  <c r="CB50" i="4" a="1"/>
  <c r="AF8" i="4" a="1"/>
  <c r="CC50" i="4" a="1"/>
  <c r="CJ48" i="4" l="1" a="1"/>
  <c r="CJ48" i="4" s="1"/>
  <c r="CI48" i="4" s="1"/>
  <c r="CC50" i="4"/>
  <c r="AF8" i="4"/>
  <c r="CB50" i="4"/>
  <c r="AN4" i="4"/>
  <c r="AQ2" i="4"/>
  <c r="AI45" i="4"/>
  <c r="AH48" i="4"/>
  <c r="AF48" i="4"/>
  <c r="AG45" i="4"/>
  <c r="AJ48" i="4"/>
  <c r="AG48" i="4"/>
  <c r="AF44" i="4" a="1"/>
  <c r="AF44" i="4" s="1"/>
  <c r="AG43" i="4"/>
  <c r="AF49" i="4"/>
  <c r="AK44" i="4"/>
  <c r="BZ51" i="4"/>
  <c r="AO6" i="4"/>
  <c r="AN3" i="4"/>
  <c r="AN1" i="4"/>
  <c r="AM6" i="4"/>
  <c r="AN6" i="4"/>
  <c r="CE51" i="4" s="1"/>
  <c r="AQ6" i="4"/>
  <c r="AP3" i="4"/>
  <c r="AM2" i="4" a="1"/>
  <c r="AI46" i="4" a="1"/>
  <c r="BY50" i="4" a="1"/>
  <c r="AK8" i="4" a="1"/>
  <c r="AP2" i="4"/>
  <c r="CF50" i="4" a="1"/>
  <c r="CE50" i="4" a="1"/>
  <c r="AN44" i="4" a="1"/>
  <c r="AQ7" i="4"/>
  <c r="CH51" i="4" l="1"/>
  <c r="AN44" i="4"/>
  <c r="CE50" i="4"/>
  <c r="CF50" i="4"/>
  <c r="CA51" i="4"/>
  <c r="AK8" i="4"/>
  <c r="BY50" i="4"/>
  <c r="AI46" i="4"/>
  <c r="AM2" i="4"/>
  <c r="BY51" i="4"/>
  <c r="AH49" i="4"/>
  <c r="CB51" i="4"/>
  <c r="AR2" i="4"/>
  <c r="AJ49" i="4" a="1"/>
  <c r="AJ49" i="4" s="1"/>
  <c r="AI44" i="4"/>
  <c r="CC51" i="4"/>
  <c r="AM7" i="4"/>
  <c r="CF51" i="4" s="1"/>
  <c r="AO7" i="4"/>
  <c r="CG51" i="4" s="1"/>
  <c r="CH50" i="4" a="1"/>
  <c r="AG9" i="4" a="1"/>
  <c r="AF10" i="4" a="1"/>
  <c r="AF50" i="4" a="1"/>
  <c r="BZ52" i="4" a="1"/>
  <c r="CA50" i="4" a="1"/>
  <c r="AP4" i="4" a="1"/>
  <c r="CG50" i="4" a="1"/>
  <c r="CD50" i="4" a="1"/>
  <c r="CD50" i="4" l="1"/>
  <c r="CG50" i="4"/>
  <c r="AP4" i="4"/>
  <c r="CD51" i="4" s="1"/>
  <c r="CJ51" i="4" s="1" a="1"/>
  <c r="CJ51" i="4" s="1"/>
  <c r="CI51" i="4" s="1"/>
  <c r="CA50" i="4"/>
  <c r="BZ52" i="4"/>
  <c r="AF50" i="4"/>
  <c r="AF10" i="4"/>
  <c r="AG9" i="4"/>
  <c r="CH50" i="4"/>
  <c r="AQ44" i="4" a="1"/>
  <c r="AQ44" i="4" s="1"/>
  <c r="AN46" i="4" a="1"/>
  <c r="AN46" i="4" s="1"/>
  <c r="AL8" i="4" a="1"/>
  <c r="AL8" i="4" s="1"/>
  <c r="AM8" i="4" a="1"/>
  <c r="AJ9" i="4" a="1"/>
  <c r="AG11" i="4" a="1"/>
  <c r="BZ53" i="4" a="1"/>
  <c r="CB52" i="4" a="1"/>
  <c r="CC52" i="4" a="1"/>
  <c r="CJ50" i="4" l="1" a="1"/>
  <c r="CJ50" i="4" s="1"/>
  <c r="CI50" i="4" s="1"/>
  <c r="CC52" i="4"/>
  <c r="CB52" i="4"/>
  <c r="BZ53" i="4"/>
  <c r="AG11" i="4"/>
  <c r="AJ9" i="4"/>
  <c r="AM8" i="4"/>
  <c r="AN48" i="4"/>
  <c r="AN43" i="4"/>
  <c r="AQ48" i="4"/>
  <c r="AM49" i="4"/>
  <c r="AM48" i="4"/>
  <c r="AM44" i="4" a="1"/>
  <c r="AM44" i="4" s="1"/>
  <c r="AP45" i="4"/>
  <c r="AO48" i="4"/>
  <c r="AN45" i="4"/>
  <c r="AR44" i="4"/>
  <c r="AI10" i="4"/>
  <c r="AG10" i="4"/>
  <c r="AJ13" i="4"/>
  <c r="AH13" i="4"/>
  <c r="AG13" i="4"/>
  <c r="AG8" i="4"/>
  <c r="AF13" i="4"/>
  <c r="BY52" i="4" a="1"/>
  <c r="CE52" i="4" a="1"/>
  <c r="AG51" i="4" a="1"/>
  <c r="AJ14" i="4"/>
  <c r="CH53" i="4" s="1" a="1"/>
  <c r="BY53" i="4" a="1"/>
  <c r="CF52" i="4" a="1"/>
  <c r="AF9" i="4" a="1"/>
  <c r="CC53" i="4" a="1"/>
  <c r="AI9" i="4"/>
  <c r="CA53" i="4" s="1" a="1"/>
  <c r="CB53" i="4" a="1"/>
  <c r="AP46" i="4" a="1"/>
  <c r="AR8" i="4" a="1"/>
  <c r="CE53" i="4" a="1"/>
  <c r="BY52" i="4" l="1"/>
  <c r="AP44" i="4"/>
  <c r="CE53" i="4"/>
  <c r="AR8" i="4"/>
  <c r="AP46" i="4"/>
  <c r="CB53" i="4"/>
  <c r="CA53" i="4"/>
  <c r="CC53" i="4"/>
  <c r="AF9" i="4"/>
  <c r="CF52" i="4"/>
  <c r="BY53" i="4"/>
  <c r="CH53" i="4"/>
  <c r="AG51" i="4"/>
  <c r="CE52" i="4"/>
  <c r="AK9" i="4"/>
  <c r="AF14" i="4"/>
  <c r="AH14" i="4"/>
  <c r="AQ49" i="4" a="1"/>
  <c r="AQ49" i="4" s="1"/>
  <c r="AO49" i="4"/>
  <c r="CA52" i="4" a="1"/>
  <c r="AI11" i="4" a="1"/>
  <c r="CD52" i="4" a="1"/>
  <c r="CG53" i="4" a="1"/>
  <c r="CG52" i="4" a="1"/>
  <c r="AN9" i="4" a="1"/>
  <c r="AM10" i="4" a="1"/>
  <c r="AM50" i="4" a="1"/>
  <c r="CF53" i="4" a="1"/>
  <c r="CH52" i="4" a="1"/>
  <c r="BZ54" i="4" a="1"/>
  <c r="CA52" i="4" l="1"/>
  <c r="BZ54" i="4"/>
  <c r="CH52" i="4"/>
  <c r="CF53" i="4"/>
  <c r="AM50" i="4"/>
  <c r="AM10" i="4"/>
  <c r="AN9" i="4"/>
  <c r="CG52" i="4"/>
  <c r="CG53" i="4"/>
  <c r="CD52" i="4"/>
  <c r="AI11" i="4"/>
  <c r="AJ51" i="4" a="1"/>
  <c r="AJ51" i="4" s="1"/>
  <c r="AG53" i="4" a="1"/>
  <c r="AG53" i="4" s="1"/>
  <c r="AE15" i="4" a="1"/>
  <c r="AE15" i="4" s="1"/>
  <c r="CD53" i="4" a="1"/>
  <c r="CB54" i="4" a="1"/>
  <c r="AF15" i="4" a="1"/>
  <c r="AQ9" i="4" a="1"/>
  <c r="AN11" i="4" a="1"/>
  <c r="BZ55" i="4" a="1"/>
  <c r="CC54" i="4" a="1"/>
  <c r="CJ52" i="4" l="1" a="1"/>
  <c r="CJ52" i="4" s="1"/>
  <c r="CI52" i="4" s="1"/>
  <c r="CC54" i="4"/>
  <c r="BZ55" i="4"/>
  <c r="AN11" i="4"/>
  <c r="AQ9" i="4"/>
  <c r="AF15" i="4"/>
  <c r="CB54" i="4"/>
  <c r="CD53" i="4"/>
  <c r="CJ53" i="4" s="1" a="1"/>
  <c r="CJ53" i="4" s="1"/>
  <c r="CI53" i="4" s="1"/>
  <c r="AH55" i="4"/>
  <c r="AI52" i="4"/>
  <c r="AF51" i="4" a="1"/>
  <c r="AF51" i="4" s="1"/>
  <c r="AJ55" i="4"/>
  <c r="AG55" i="4"/>
  <c r="AF56" i="4"/>
  <c r="AF55" i="4"/>
  <c r="AG52" i="4"/>
  <c r="AG50" i="4"/>
  <c r="AO13" i="4"/>
  <c r="AN10" i="4"/>
  <c r="AM13" i="4"/>
  <c r="AQ13" i="4"/>
  <c r="AN13" i="4"/>
  <c r="AN8" i="4"/>
  <c r="AP10" i="4"/>
  <c r="AK51" i="4"/>
  <c r="AI53" i="4" a="1"/>
  <c r="AP9" i="4"/>
  <c r="CA55" i="4" s="1" a="1"/>
  <c r="CB55" i="4" a="1"/>
  <c r="CE54" i="4" a="1"/>
  <c r="AM9" i="4" a="1"/>
  <c r="CC55" i="4" a="1"/>
  <c r="CE55" i="4" a="1"/>
  <c r="AK15" i="4" a="1"/>
  <c r="CF54" i="4" a="1"/>
  <c r="AN51" i="4" a="1"/>
  <c r="AQ14" i="4"/>
  <c r="CH55" i="4" s="1" a="1"/>
  <c r="BY55" i="4" a="1"/>
  <c r="BY54" i="4" a="1"/>
  <c r="BY54" i="4" l="1"/>
  <c r="BY55" i="4"/>
  <c r="CH55" i="4"/>
  <c r="AN51" i="4"/>
  <c r="CF54" i="4"/>
  <c r="AK15" i="4"/>
  <c r="CE55" i="4"/>
  <c r="CC55" i="4"/>
  <c r="AM9" i="4"/>
  <c r="CE54" i="4"/>
  <c r="CB55" i="4"/>
  <c r="CA55" i="4"/>
  <c r="AI53" i="4"/>
  <c r="AJ56" i="4" a="1"/>
  <c r="AJ56" i="4" s="1"/>
  <c r="AM14" i="4"/>
  <c r="AO14" i="4"/>
  <c r="AH56" i="4"/>
  <c r="AR9" i="4"/>
  <c r="AI51" i="4"/>
  <c r="AP11" i="4" a="1"/>
  <c r="CG54" i="4" a="1"/>
  <c r="CG55" i="4" a="1"/>
  <c r="CA54" i="4" a="1"/>
  <c r="BZ56" i="4" a="1"/>
  <c r="CH54" i="4" a="1"/>
  <c r="CD54" i="4" a="1"/>
  <c r="AG16" i="4" a="1"/>
  <c r="AF17" i="4" a="1"/>
  <c r="AF57" i="4" a="1"/>
  <c r="CF55" i="4" a="1"/>
  <c r="CF55" i="4" l="1"/>
  <c r="AF57" i="4"/>
  <c r="AF17" i="4"/>
  <c r="AG16" i="4"/>
  <c r="CD54" i="4"/>
  <c r="CH54" i="4"/>
  <c r="BZ56" i="4"/>
  <c r="CA54" i="4"/>
  <c r="CG55" i="4"/>
  <c r="CG54" i="4"/>
  <c r="AP11" i="4"/>
  <c r="AL15" i="4" a="1"/>
  <c r="AL15" i="4" s="1"/>
  <c r="AQ51" i="4" a="1"/>
  <c r="AQ51" i="4" s="1"/>
  <c r="AN53" i="4" a="1"/>
  <c r="AN53" i="4" s="1"/>
  <c r="CD55" i="4" a="1"/>
  <c r="AJ16" i="4" a="1"/>
  <c r="AG18" i="4" a="1"/>
  <c r="BZ57" i="4" a="1"/>
  <c r="AM15" i="4" a="1"/>
  <c r="CC56" i="4" a="1"/>
  <c r="CB56" i="4" a="1"/>
  <c r="CJ54" i="4" l="1" a="1"/>
  <c r="CJ54" i="4" s="1"/>
  <c r="CI54" i="4" s="1"/>
  <c r="CB56" i="4"/>
  <c r="CC56" i="4"/>
  <c r="AM15" i="4"/>
  <c r="BZ57" i="4"/>
  <c r="AG18" i="4"/>
  <c r="AJ16" i="4"/>
  <c r="CD55" i="4"/>
  <c r="CJ55" i="4" s="1" a="1"/>
  <c r="CJ55" i="4" s="1"/>
  <c r="CI55" i="4" s="1"/>
  <c r="AR51" i="4"/>
  <c r="AM56" i="4"/>
  <c r="AM55" i="4"/>
  <c r="AQ55" i="4"/>
  <c r="AM51" i="4" a="1"/>
  <c r="AM51" i="4" s="1"/>
  <c r="AP52" i="4"/>
  <c r="AO55" i="4"/>
  <c r="AN55" i="4"/>
  <c r="AN50" i="4"/>
  <c r="AN52" i="4"/>
  <c r="AH20" i="4"/>
  <c r="AG17" i="4"/>
  <c r="AF20" i="4"/>
  <c r="AG15" i="4"/>
  <c r="AJ20" i="4"/>
  <c r="AG20" i="4"/>
  <c r="AI17" i="4"/>
  <c r="BY56" i="4" a="1"/>
  <c r="AI16" i="4"/>
  <c r="CA57" i="4" s="1" a="1"/>
  <c r="CB57" i="4" a="1"/>
  <c r="CF56" i="4" a="1"/>
  <c r="AG58" i="4" a="1"/>
  <c r="AJ21" i="4"/>
  <c r="CH57" i="4" s="1" a="1"/>
  <c r="BY57" i="4" a="1"/>
  <c r="AR15" i="4" a="1"/>
  <c r="CE56" i="4" a="1"/>
  <c r="AF16" i="4" a="1"/>
  <c r="CC57" i="4" a="1"/>
  <c r="AP53" i="4" a="1"/>
  <c r="CE57" i="4" a="1"/>
  <c r="CE57" i="4" l="1"/>
  <c r="AP53" i="4"/>
  <c r="CC57" i="4"/>
  <c r="AF16" i="4"/>
  <c r="CE56" i="4"/>
  <c r="AR15" i="4"/>
  <c r="BY57" i="4"/>
  <c r="CH57" i="4"/>
  <c r="AG58" i="4"/>
  <c r="CF56" i="4"/>
  <c r="CB57" i="4"/>
  <c r="CA57" i="4"/>
  <c r="BY56" i="4"/>
  <c r="AF21" i="4"/>
  <c r="AH21" i="4"/>
  <c r="AO56" i="4"/>
  <c r="AK16" i="4"/>
  <c r="AQ56" i="4" a="1"/>
  <c r="AQ56" i="4" s="1"/>
  <c r="AP51" i="4"/>
  <c r="BZ58" i="4" a="1"/>
  <c r="CD56" i="4" a="1"/>
  <c r="CH56" i="4" a="1"/>
  <c r="AI18" i="4" a="1"/>
  <c r="CG56" i="4" a="1"/>
  <c r="CA56" i="4" a="1"/>
  <c r="AM57" i="4" a="1"/>
  <c r="AN16" i="4" a="1"/>
  <c r="AM17" i="4" a="1"/>
  <c r="CF57" i="4" a="1"/>
  <c r="CG57" i="4" a="1"/>
  <c r="CG57" i="4" l="1"/>
  <c r="CF57" i="4"/>
  <c r="AM17" i="4"/>
  <c r="AN16" i="4"/>
  <c r="AM57" i="4"/>
  <c r="CA56" i="4"/>
  <c r="CG56" i="4"/>
  <c r="AI18" i="4"/>
  <c r="CH56" i="4"/>
  <c r="CD56" i="4"/>
  <c r="BZ58" i="4"/>
  <c r="AE22" i="4" a="1"/>
  <c r="AE22" i="4" s="1"/>
  <c r="AJ58" i="4" a="1"/>
  <c r="AJ58" i="4" s="1"/>
  <c r="AG60" i="4" a="1"/>
  <c r="AG60" i="4" s="1"/>
  <c r="AQ16" i="4" a="1"/>
  <c r="AN18" i="4" a="1"/>
  <c r="BZ59" i="4" a="1"/>
  <c r="AF22" i="4" a="1"/>
  <c r="CC58" i="4" a="1"/>
  <c r="CD57" i="4" a="1"/>
  <c r="CB58" i="4" a="1"/>
  <c r="CJ56" i="4" l="1" a="1"/>
  <c r="CJ56" i="4" s="1"/>
  <c r="CI56" i="4" s="1"/>
  <c r="CB58" i="4"/>
  <c r="CD57" i="4"/>
  <c r="CJ57" i="4" s="1" a="1"/>
  <c r="CJ57" i="4" s="1"/>
  <c r="CI57" i="4" s="1"/>
  <c r="CC58" i="4"/>
  <c r="AF22" i="4"/>
  <c r="BZ59" i="4"/>
  <c r="AN18" i="4"/>
  <c r="AQ16" i="4"/>
  <c r="AK58" i="4"/>
  <c r="AF63" i="4"/>
  <c r="AG57" i="4"/>
  <c r="AI59" i="4"/>
  <c r="AF58" i="4" a="1"/>
  <c r="AF58" i="4" s="1"/>
  <c r="AG59" i="4"/>
  <c r="AG62" i="4"/>
  <c r="AF62" i="4"/>
  <c r="AJ62" i="4"/>
  <c r="AH62" i="4"/>
  <c r="AN17" i="4"/>
  <c r="AN15" i="4"/>
  <c r="AM20" i="4"/>
  <c r="AP17" i="4"/>
  <c r="AN20" i="4"/>
  <c r="AQ20" i="4"/>
  <c r="AO20" i="4"/>
  <c r="AM16" i="4" a="1"/>
  <c r="CC59" i="4" a="1"/>
  <c r="AP16" i="4"/>
  <c r="CA59" i="4" s="1" a="1"/>
  <c r="CB59" i="4" a="1"/>
  <c r="CE58" i="4" a="1"/>
  <c r="CF58" i="4" a="1"/>
  <c r="BY58" i="4" a="1"/>
  <c r="AN58" i="4" a="1"/>
  <c r="AQ21" i="4"/>
  <c r="CH59" i="4" s="1" a="1"/>
  <c r="BY59" i="4" a="1"/>
  <c r="AK22" i="4" a="1"/>
  <c r="AI60" i="4" a="1"/>
  <c r="CE59" i="4" a="1"/>
  <c r="CE59" i="4" l="1"/>
  <c r="AI60" i="4"/>
  <c r="AK22" i="4"/>
  <c r="BY59" i="4"/>
  <c r="CH59" i="4"/>
  <c r="AN58" i="4"/>
  <c r="BY58" i="4"/>
  <c r="CF58" i="4"/>
  <c r="CE58" i="4"/>
  <c r="CB59" i="4"/>
  <c r="CA59" i="4"/>
  <c r="CC59" i="4"/>
  <c r="AM16" i="4"/>
  <c r="AJ63" i="4" a="1"/>
  <c r="AJ63" i="4" s="1"/>
  <c r="AH63" i="4"/>
  <c r="AR16" i="4"/>
  <c r="AO21" i="4"/>
  <c r="AM21" i="4"/>
  <c r="AI58" i="4"/>
  <c r="CD58" i="4" a="1"/>
  <c r="CF59" i="4" a="1"/>
  <c r="CG58" i="4" a="1"/>
  <c r="AG23" i="4" a="1"/>
  <c r="AF64" i="4" a="1"/>
  <c r="AF24" i="4" a="1"/>
  <c r="CA58" i="4" a="1"/>
  <c r="AP18" i="4" a="1"/>
  <c r="BZ60" i="4" a="1"/>
  <c r="CH58" i="4" a="1"/>
  <c r="CG59" i="4" a="1"/>
  <c r="CG59" i="4" l="1"/>
  <c r="CH58" i="4"/>
  <c r="BZ60" i="4"/>
  <c r="AP18" i="4"/>
  <c r="CA58" i="4"/>
  <c r="AF24" i="4"/>
  <c r="AF64" i="4"/>
  <c r="AG23" i="4"/>
  <c r="CG58" i="4"/>
  <c r="CF59" i="4"/>
  <c r="CD58" i="4"/>
  <c r="AQ58" i="4" a="1"/>
  <c r="AQ58" i="4" s="1"/>
  <c r="AN60" i="4" a="1"/>
  <c r="AN60" i="4" s="1"/>
  <c r="AL22" i="4" a="1"/>
  <c r="AL22" i="4" s="1"/>
  <c r="CD59" i="4" a="1"/>
  <c r="CB60" i="4" a="1"/>
  <c r="CC60" i="4" a="1"/>
  <c r="AM22" i="4" a="1"/>
  <c r="AJ23" i="4" a="1"/>
  <c r="AG25" i="4" a="1"/>
  <c r="BZ61" i="4" a="1"/>
  <c r="CJ58" i="4" l="1" a="1"/>
  <c r="CJ58" i="4" s="1"/>
  <c r="CI58" i="4" s="1"/>
  <c r="BZ61" i="4"/>
  <c r="AG25" i="4"/>
  <c r="AJ23" i="4"/>
  <c r="AM22" i="4"/>
  <c r="CC60" i="4"/>
  <c r="CB60" i="4"/>
  <c r="CD59" i="4"/>
  <c r="CJ59" i="4" s="1" a="1"/>
  <c r="CJ59" i="4" s="1"/>
  <c r="CI59" i="4" s="1"/>
  <c r="AF27" i="4"/>
  <c r="AJ27" i="4"/>
  <c r="AH27" i="4"/>
  <c r="AG22" i="4"/>
  <c r="AG24" i="4"/>
  <c r="AG27" i="4"/>
  <c r="AI24" i="4"/>
  <c r="AN59" i="4"/>
  <c r="AN62" i="4"/>
  <c r="AM58" i="4" a="1"/>
  <c r="AM58" i="4" s="1"/>
  <c r="AM62" i="4"/>
  <c r="AN57" i="4"/>
  <c r="AO62" i="4"/>
  <c r="AP59" i="4"/>
  <c r="AM63" i="4"/>
  <c r="AQ62" i="4"/>
  <c r="AR58" i="4"/>
  <c r="AP60" i="4" a="1"/>
  <c r="AG65" i="4" a="1"/>
  <c r="AJ28" i="4"/>
  <c r="CH61" i="4" s="1" a="1"/>
  <c r="BY61" i="4" a="1"/>
  <c r="AF23" i="4" a="1"/>
  <c r="CC61" i="4" a="1"/>
  <c r="AR22" i="4" a="1"/>
  <c r="AI23" i="4"/>
  <c r="CA61" i="4" s="1" a="1"/>
  <c r="CB61" i="4" a="1"/>
  <c r="BY60" i="4" a="1"/>
  <c r="CE61" i="4" a="1"/>
  <c r="CF60" i="4" a="1"/>
  <c r="CE60" i="4" a="1"/>
  <c r="CE60" i="4" l="1"/>
  <c r="CF60" i="4"/>
  <c r="CE61" i="4"/>
  <c r="BY60" i="4"/>
  <c r="CB61" i="4"/>
  <c r="CA61" i="4"/>
  <c r="AR22" i="4"/>
  <c r="CC61" i="4"/>
  <c r="AF23" i="4"/>
  <c r="BY61" i="4"/>
  <c r="CH61" i="4"/>
  <c r="AG65" i="4"/>
  <c r="AP60" i="4"/>
  <c r="AO63" i="4"/>
  <c r="AQ63" i="4" a="1"/>
  <c r="AQ63" i="4" s="1"/>
  <c r="AK23" i="4"/>
  <c r="AH28" i="4"/>
  <c r="AF28" i="4"/>
  <c r="AP58" i="4"/>
  <c r="AI25" i="4" a="1"/>
  <c r="CG61" i="4" a="1"/>
  <c r="CF61" i="4" a="1"/>
  <c r="CG60" i="4" a="1"/>
  <c r="CA60" i="4" a="1"/>
  <c r="BZ62" i="4" a="1"/>
  <c r="CD60" i="4" a="1"/>
  <c r="AM24" i="4" a="1"/>
  <c r="AM64" i="4" a="1"/>
  <c r="AN23" i="4" a="1"/>
  <c r="CH60" i="4" a="1"/>
  <c r="CH60" i="4" l="1"/>
  <c r="AN23" i="4"/>
  <c r="AM64" i="4"/>
  <c r="AM24" i="4"/>
  <c r="CD60" i="4"/>
  <c r="BZ62" i="4"/>
  <c r="CA60" i="4"/>
  <c r="CG60" i="4"/>
  <c r="CF61" i="4"/>
  <c r="CG61" i="4"/>
  <c r="AI25" i="4"/>
  <c r="AE29" i="4" a="1"/>
  <c r="AE29" i="4" s="1"/>
  <c r="AJ65" i="4" a="1"/>
  <c r="AJ65" i="4" s="1"/>
  <c r="AG67" i="4" a="1"/>
  <c r="AG67" i="4" s="1"/>
  <c r="AQ23" i="4" a="1"/>
  <c r="AN25" i="4" a="1"/>
  <c r="BZ63" i="4" a="1"/>
  <c r="CD61" i="4" a="1"/>
  <c r="AF29" i="4" a="1"/>
  <c r="CB62" i="4" a="1"/>
  <c r="CC62" i="4" a="1"/>
  <c r="CJ60" i="4" l="1" a="1"/>
  <c r="CJ60" i="4" s="1"/>
  <c r="CI60" i="4" s="1"/>
  <c r="CC62" i="4"/>
  <c r="CB62" i="4"/>
  <c r="AF29" i="4"/>
  <c r="CD61" i="4"/>
  <c r="CJ61" i="4" s="1" a="1"/>
  <c r="CJ61" i="4" s="1"/>
  <c r="CI61" i="4" s="1"/>
  <c r="BZ63" i="4"/>
  <c r="AN25" i="4"/>
  <c r="AQ23" i="4"/>
  <c r="AG64" i="4"/>
  <c r="AI66" i="4"/>
  <c r="AG66" i="4"/>
  <c r="AF65" i="4" a="1"/>
  <c r="AF65" i="4" s="1"/>
  <c r="AH69" i="4"/>
  <c r="AF70" i="4"/>
  <c r="AF69" i="4"/>
  <c r="AJ69" i="4"/>
  <c r="AG69" i="4"/>
  <c r="AK65" i="4"/>
  <c r="AP24" i="4"/>
  <c r="AO27" i="4"/>
  <c r="AN24" i="4"/>
  <c r="AN27" i="4"/>
  <c r="AN22" i="4"/>
  <c r="AM27" i="4"/>
  <c r="AQ27" i="4"/>
  <c r="AK29" i="4" a="1"/>
  <c r="AI67" i="4" a="1"/>
  <c r="AP23" i="4"/>
  <c r="CA63" i="4" s="1" a="1"/>
  <c r="CB63" i="4" a="1"/>
  <c r="AN65" i="4" a="1"/>
  <c r="AQ28" i="4"/>
  <c r="CH63" i="4" s="1" a="1"/>
  <c r="BY63" i="4" a="1"/>
  <c r="AM23" i="4" a="1"/>
  <c r="CC63" i="4" a="1"/>
  <c r="CE62" i="4" a="1"/>
  <c r="CF62" i="4" a="1"/>
  <c r="CE63" i="4" a="1"/>
  <c r="BY62" i="4" a="1"/>
  <c r="BY62" i="4" l="1"/>
  <c r="CE63" i="4"/>
  <c r="CF62" i="4"/>
  <c r="CE62" i="4"/>
  <c r="CC63" i="4"/>
  <c r="AM23" i="4"/>
  <c r="BY63" i="4"/>
  <c r="CH63" i="4"/>
  <c r="AN65" i="4"/>
  <c r="CB63" i="4"/>
  <c r="CA63" i="4"/>
  <c r="AI67" i="4"/>
  <c r="AK29" i="4"/>
  <c r="AJ70" i="4" a="1"/>
  <c r="AJ70" i="4" s="1"/>
  <c r="AH70" i="4"/>
  <c r="AO28" i="4"/>
  <c r="AM28" i="4"/>
  <c r="AI65" i="4"/>
  <c r="AR23" i="4"/>
  <c r="BZ64" i="4" a="1"/>
  <c r="CF63" i="4" a="1"/>
  <c r="CA62" i="4" a="1"/>
  <c r="AG30" i="4" a="1"/>
  <c r="AF31" i="4" a="1"/>
  <c r="AF71" i="4" a="1"/>
  <c r="CD62" i="4" a="1"/>
  <c r="CG62" i="4" a="1"/>
  <c r="CG63" i="4" a="1"/>
  <c r="AP25" i="4" a="1"/>
  <c r="CH62" i="4" a="1"/>
  <c r="CH62" i="4" l="1"/>
  <c r="AP25" i="4"/>
  <c r="CG63" i="4"/>
  <c r="CG62" i="4"/>
  <c r="CD62" i="4"/>
  <c r="AF71" i="4"/>
  <c r="AF31" i="4"/>
  <c r="AG30" i="4"/>
  <c r="CA62" i="4"/>
  <c r="CF63" i="4"/>
  <c r="BZ64" i="4"/>
  <c r="AL29" i="4" a="1"/>
  <c r="AL29" i="4" s="1"/>
  <c r="AQ65" i="4" a="1"/>
  <c r="AQ65" i="4" s="1"/>
  <c r="AN67" i="4" a="1"/>
  <c r="AN67" i="4" s="1"/>
  <c r="AM29" i="4" a="1"/>
  <c r="AG32" i="4" a="1"/>
  <c r="AJ30" i="4" a="1"/>
  <c r="BZ65" i="4" a="1"/>
  <c r="CD63" i="4" a="1"/>
  <c r="CB64" i="4" a="1"/>
  <c r="CC64" i="4" a="1"/>
  <c r="CJ62" i="4" l="1" a="1"/>
  <c r="CJ62" i="4" s="1"/>
  <c r="CI62" i="4" s="1"/>
  <c r="CC64" i="4"/>
  <c r="CB64" i="4"/>
  <c r="CD63" i="4"/>
  <c r="CJ63" i="4" s="1" a="1"/>
  <c r="CJ63" i="4" s="1"/>
  <c r="CI63" i="4" s="1"/>
  <c r="BZ65" i="4"/>
  <c r="AJ30" i="4"/>
  <c r="AG32" i="4"/>
  <c r="AM29" i="4"/>
  <c r="AN69" i="4"/>
  <c r="AP66" i="4"/>
  <c r="AM69" i="4"/>
  <c r="AM70" i="4"/>
  <c r="AN64" i="4"/>
  <c r="AM65" i="4" a="1"/>
  <c r="AM65" i="4" s="1"/>
  <c r="AQ69" i="4"/>
  <c r="AO69" i="4"/>
  <c r="AN66" i="4"/>
  <c r="AR65" i="4"/>
  <c r="AH34" i="4"/>
  <c r="AG31" i="4"/>
  <c r="AG29" i="4"/>
  <c r="AG34" i="4"/>
  <c r="AF34" i="4"/>
  <c r="AI31" i="4"/>
  <c r="AJ34" i="4"/>
  <c r="CF64" i="4" a="1"/>
  <c r="BY64" i="4" a="1"/>
  <c r="CE65" i="4" a="1"/>
  <c r="AG72" i="4" a="1"/>
  <c r="AJ35" i="4"/>
  <c r="CH65" i="4" s="1" a="1"/>
  <c r="BY65" i="4" a="1"/>
  <c r="AI30" i="4"/>
  <c r="CA65" i="4" s="1" a="1"/>
  <c r="CB65" i="4" a="1"/>
  <c r="AP67" i="4" a="1"/>
  <c r="AR29" i="4" a="1"/>
  <c r="AF30" i="4" a="1"/>
  <c r="CC65" i="4" a="1"/>
  <c r="CE64" i="4" a="1"/>
  <c r="CE64" i="4" l="1"/>
  <c r="CC65" i="4"/>
  <c r="AF30" i="4"/>
  <c r="AR29" i="4"/>
  <c r="AP67" i="4"/>
  <c r="CB65" i="4"/>
  <c r="CA65" i="4"/>
  <c r="BY65" i="4"/>
  <c r="CH65" i="4"/>
  <c r="AG72" i="4"/>
  <c r="CE65" i="4"/>
  <c r="BY64" i="4"/>
  <c r="CF64" i="4"/>
  <c r="AO70" i="4"/>
  <c r="AH35" i="4"/>
  <c r="AF35" i="4"/>
  <c r="AK30" i="4"/>
  <c r="AQ70" i="4" a="1"/>
  <c r="AQ70" i="4" s="1"/>
  <c r="AP65" i="4"/>
  <c r="AI32" i="4" a="1"/>
  <c r="CA64" i="4" a="1"/>
  <c r="AM31" i="4" a="1"/>
  <c r="AM71" i="4" a="1"/>
  <c r="AN30" i="4" a="1"/>
  <c r="CD64" i="4" a="1"/>
  <c r="CG64" i="4" a="1"/>
  <c r="BZ66" i="4" a="1"/>
  <c r="CH64" i="4" a="1"/>
  <c r="CG65" i="4" a="1"/>
  <c r="CF65" i="4" a="1"/>
  <c r="CF65" i="4" l="1"/>
  <c r="CG65" i="4"/>
  <c r="CH64" i="4"/>
  <c r="BZ66" i="4"/>
  <c r="CG64" i="4"/>
  <c r="CD64" i="4"/>
  <c r="AN30" i="4"/>
  <c r="AM71" i="4"/>
  <c r="AM31" i="4"/>
  <c r="CA64" i="4"/>
  <c r="AI32" i="4"/>
  <c r="AJ72" i="4" a="1"/>
  <c r="AJ72" i="4" s="1"/>
  <c r="AG74" i="4" a="1"/>
  <c r="AG74" i="4" s="1"/>
  <c r="AE36" i="4" a="1"/>
  <c r="AE36" i="4" s="1"/>
  <c r="CD65" i="4" a="1"/>
  <c r="CB66" i="4" a="1"/>
  <c r="AF36" i="4" a="1"/>
  <c r="CC66" i="4" a="1"/>
  <c r="AQ30" i="4" a="1"/>
  <c r="AN32" i="4" a="1"/>
  <c r="BZ67" i="4" a="1"/>
  <c r="CJ64" i="4" l="1" a="1"/>
  <c r="CJ64" i="4" s="1"/>
  <c r="CI64" i="4" s="1"/>
  <c r="BZ67" i="4"/>
  <c r="AN32" i="4"/>
  <c r="AQ30" i="4"/>
  <c r="CC66" i="4"/>
  <c r="AF36" i="4"/>
  <c r="CB66" i="4"/>
  <c r="CD65" i="4"/>
  <c r="CJ65" i="4" s="1" a="1"/>
  <c r="CJ65" i="4" s="1"/>
  <c r="CI65" i="4" s="1"/>
  <c r="AO34" i="4"/>
  <c r="AN34" i="4"/>
  <c r="AM34" i="4"/>
  <c r="AN31" i="4"/>
  <c r="AN29" i="4"/>
  <c r="AQ34" i="4"/>
  <c r="AP31" i="4"/>
  <c r="AG73" i="4"/>
  <c r="AJ76" i="4"/>
  <c r="AH76" i="4"/>
  <c r="AF72" i="4" a="1"/>
  <c r="AF72" i="4" s="1"/>
  <c r="AF77" i="4"/>
  <c r="AG76" i="4"/>
  <c r="AF76" i="4"/>
  <c r="AG71" i="4"/>
  <c r="AI72" i="4" s="1"/>
  <c r="AI73" i="4"/>
  <c r="AK72" i="4"/>
  <c r="CE67" i="4" a="1"/>
  <c r="CA66" i="4" a="1"/>
  <c r="AM30" i="4" a="1"/>
  <c r="CC67" i="4" a="1"/>
  <c r="AI74" i="4" a="1"/>
  <c r="AP30" i="4"/>
  <c r="CA67" i="4" s="1" a="1"/>
  <c r="CB67" i="4" a="1"/>
  <c r="CF66" i="4" a="1"/>
  <c r="CE66" i="4" a="1"/>
  <c r="BY66" i="4" a="1"/>
  <c r="AN72" i="4" a="1"/>
  <c r="AQ35" i="4"/>
  <c r="CH67" i="4" s="1" a="1"/>
  <c r="BY67" i="4" a="1"/>
  <c r="AK36" i="4" a="1"/>
  <c r="AK36" i="4" l="1"/>
  <c r="BY67" i="4"/>
  <c r="CH67" i="4"/>
  <c r="AN72" i="4"/>
  <c r="BY66" i="4"/>
  <c r="CE66" i="4"/>
  <c r="CF66" i="4"/>
  <c r="CB67" i="4"/>
  <c r="CA67" i="4"/>
  <c r="AI74" i="4"/>
  <c r="CC67" i="4"/>
  <c r="AM30" i="4"/>
  <c r="CA66" i="4"/>
  <c r="CE67" i="4"/>
  <c r="AJ77" i="4" a="1"/>
  <c r="AJ77" i="4" s="1"/>
  <c r="AH77" i="4"/>
  <c r="AR30" i="4"/>
  <c r="AM35" i="4"/>
  <c r="AO35" i="4"/>
  <c r="AF38" i="4" a="1"/>
  <c r="AF78" i="4" a="1"/>
  <c r="AG37" i="4" a="1"/>
  <c r="CG67" i="4" a="1"/>
  <c r="AP32" i="4" a="1"/>
  <c r="CD66" i="4" a="1"/>
  <c r="CF67" i="4" a="1"/>
  <c r="BZ68" i="4" a="1"/>
  <c r="CH66" i="4" a="1"/>
  <c r="CG66" i="4" a="1"/>
  <c r="CG66" i="4" l="1"/>
  <c r="CH66" i="4"/>
  <c r="BZ68" i="4"/>
  <c r="CF67" i="4"/>
  <c r="CD66" i="4"/>
  <c r="AP32" i="4"/>
  <c r="CG67" i="4"/>
  <c r="AG37" i="4"/>
  <c r="AF78" i="4"/>
  <c r="AF38" i="4"/>
  <c r="AN74" i="4" a="1"/>
  <c r="AN74" i="4" s="1"/>
  <c r="AQ72" i="4" a="1"/>
  <c r="AQ72" i="4" s="1"/>
  <c r="AL36" i="4" a="1"/>
  <c r="AL36" i="4" s="1"/>
  <c r="CC68" i="4" a="1"/>
  <c r="CB68" i="4" a="1"/>
  <c r="CD67" i="4" a="1"/>
  <c r="AJ37" i="4" a="1"/>
  <c r="AG39" i="4" a="1"/>
  <c r="BZ69" i="4" a="1"/>
  <c r="AM36" i="4" a="1"/>
  <c r="CJ66" i="4" l="1" a="1"/>
  <c r="CJ66" i="4" s="1"/>
  <c r="CI66" i="4" s="1"/>
  <c r="AM36" i="4"/>
  <c r="BZ69" i="4"/>
  <c r="AG39" i="4"/>
  <c r="AJ37" i="4"/>
  <c r="CD67" i="4"/>
  <c r="CJ67" i="4" s="1" a="1"/>
  <c r="CJ67" i="4" s="1"/>
  <c r="CI67" i="4" s="1"/>
  <c r="CB68" i="4"/>
  <c r="CC68" i="4"/>
  <c r="AI38" i="4"/>
  <c r="AG38" i="4"/>
  <c r="AH41" i="4"/>
  <c r="AG41" i="4"/>
  <c r="AF41" i="4"/>
  <c r="AJ41" i="4"/>
  <c r="AG36" i="4"/>
  <c r="AR72" i="4"/>
  <c r="AM76" i="4"/>
  <c r="AN71" i="4"/>
  <c r="AP72" i="4" s="1"/>
  <c r="AQ76" i="4"/>
  <c r="AM72" i="4" a="1"/>
  <c r="AM72" i="4" s="1"/>
  <c r="AP73" i="4"/>
  <c r="AO76" i="4"/>
  <c r="AN73" i="4"/>
  <c r="AN76" i="4"/>
  <c r="AM77" i="4"/>
  <c r="AR36" i="4" a="1"/>
  <c r="CF68" i="4" a="1"/>
  <c r="BY68" i="4" a="1"/>
  <c r="AF37" i="4" a="1"/>
  <c r="CC69" i="4" a="1"/>
  <c r="CE69" i="4" a="1"/>
  <c r="AI37" i="4"/>
  <c r="CA69" i="4" s="1" a="1"/>
  <c r="CB69" i="4" a="1"/>
  <c r="AP74" i="4" a="1"/>
  <c r="CA68" i="4" a="1"/>
  <c r="AG79" i="4" a="1"/>
  <c r="AJ42" i="4"/>
  <c r="CH69" i="4" s="1" a="1"/>
  <c r="BY69" i="4" a="1"/>
  <c r="CE68" i="4" a="1"/>
  <c r="CE68" i="4" l="1"/>
  <c r="BY69" i="4"/>
  <c r="CH69" i="4"/>
  <c r="AG79" i="4"/>
  <c r="CA68" i="4"/>
  <c r="AP74" i="4"/>
  <c r="CB69" i="4"/>
  <c r="CA69" i="4"/>
  <c r="CE69" i="4"/>
  <c r="CC69" i="4"/>
  <c r="AF37" i="4"/>
  <c r="BY68" i="4"/>
  <c r="CF68" i="4"/>
  <c r="AR36" i="4"/>
  <c r="AO77" i="4"/>
  <c r="AK37" i="4"/>
  <c r="AH42" i="4"/>
  <c r="AF42" i="4"/>
  <c r="AQ77" i="4" a="1"/>
  <c r="AQ77" i="4" s="1"/>
  <c r="CG69" i="4" a="1"/>
  <c r="CF69" i="4" a="1"/>
  <c r="BZ70" i="4" a="1"/>
  <c r="CD68" i="4" a="1"/>
  <c r="AM78" i="4" a="1"/>
  <c r="AN37" i="4" a="1"/>
  <c r="AM38" i="4" a="1"/>
  <c r="CG68" i="4" a="1"/>
  <c r="AI39" i="4" a="1"/>
  <c r="CH68" i="4" a="1"/>
  <c r="CH68" i="4" l="1"/>
  <c r="AI39" i="4"/>
  <c r="CG68" i="4"/>
  <c r="AM38" i="4"/>
  <c r="AN37" i="4"/>
  <c r="AM78" i="4"/>
  <c r="CD68" i="4"/>
  <c r="BZ70" i="4"/>
  <c r="CF69" i="4"/>
  <c r="CG69" i="4"/>
  <c r="AT1" i="4" a="1"/>
  <c r="AT1" i="4" s="1"/>
  <c r="AJ79" i="4" a="1"/>
  <c r="AJ79" i="4" s="1"/>
  <c r="AG81" i="4" a="1"/>
  <c r="AG81" i="4" s="1"/>
  <c r="CD69" i="4" a="1"/>
  <c r="AU1" i="4" a="1"/>
  <c r="CB70" i="4" a="1"/>
  <c r="AN39" i="4" a="1"/>
  <c r="AQ37" i="4" a="1"/>
  <c r="BZ71" i="4" a="1"/>
  <c r="CC70" i="4" a="1"/>
  <c r="CJ68" i="4" l="1" a="1"/>
  <c r="CJ68" i="4" s="1"/>
  <c r="CI68" i="4" s="1"/>
  <c r="CC70" i="4"/>
  <c r="BZ71" i="4"/>
  <c r="AQ37" i="4"/>
  <c r="AN39" i="4"/>
  <c r="CB70" i="4"/>
  <c r="AU1" i="4"/>
  <c r="CD69" i="4"/>
  <c r="CJ69" i="4" s="1" a="1"/>
  <c r="CJ69" i="4" s="1"/>
  <c r="CI69" i="4" s="1"/>
  <c r="AG78" i="4"/>
  <c r="AI80" i="4"/>
  <c r="AF79" i="4" a="1"/>
  <c r="AF79" i="4" s="1"/>
  <c r="AG80" i="4"/>
  <c r="AJ83" i="4"/>
  <c r="AF84" i="4"/>
  <c r="AG83" i="4"/>
  <c r="AH83" i="4"/>
  <c r="AF83" i="4"/>
  <c r="AM41" i="4"/>
  <c r="AQ41" i="4"/>
  <c r="AO41" i="4"/>
  <c r="AN41" i="4"/>
  <c r="AP38" i="4"/>
  <c r="AN38" i="4"/>
  <c r="AN36" i="4"/>
  <c r="AK79" i="4"/>
  <c r="AP37" i="4"/>
  <c r="CA71" i="4" s="1" a="1"/>
  <c r="CB71" i="4" a="1"/>
  <c r="AM37" i="4" a="1"/>
  <c r="CC71" i="4" a="1"/>
  <c r="CE71" i="4" a="1"/>
  <c r="AI81" i="4" a="1"/>
  <c r="CE70" i="4" a="1"/>
  <c r="AN79" i="4" a="1"/>
  <c r="AQ42" i="4"/>
  <c r="CH71" i="4" s="1" a="1"/>
  <c r="BY71" i="4" a="1"/>
  <c r="CF70" i="4" a="1"/>
  <c r="AZ1" i="4" a="1"/>
  <c r="BY70" i="4" a="1"/>
  <c r="BY70" i="4" l="1"/>
  <c r="AZ1" i="4"/>
  <c r="CF70" i="4"/>
  <c r="BY71" i="4"/>
  <c r="CH71" i="4"/>
  <c r="AN79" i="4"/>
  <c r="CE70" i="4"/>
  <c r="AI81" i="4"/>
  <c r="CE71" i="4"/>
  <c r="CC71" i="4"/>
  <c r="AM37" i="4"/>
  <c r="CB71" i="4"/>
  <c r="CA71" i="4"/>
  <c r="AJ84" i="4" a="1"/>
  <c r="AJ84" i="4" s="1"/>
  <c r="AH84" i="4"/>
  <c r="AO42" i="4"/>
  <c r="AM42" i="4"/>
  <c r="AR37" i="4"/>
  <c r="AI79" i="4"/>
  <c r="CF71" i="4" a="1"/>
  <c r="AP39" i="4" a="1"/>
  <c r="CA70" i="4" a="1"/>
  <c r="BZ72" i="4" a="1"/>
  <c r="CH70" i="4" a="1"/>
  <c r="AU3" i="4" a="1"/>
  <c r="AV2" i="4" a="1"/>
  <c r="AU43" i="4" a="1"/>
  <c r="CD70" i="4" a="1"/>
  <c r="CG71" i="4" a="1"/>
  <c r="CG70" i="4" a="1"/>
  <c r="CG70" i="4" l="1"/>
  <c r="CG71" i="4"/>
  <c r="CD70" i="4"/>
  <c r="AU43" i="4"/>
  <c r="AV2" i="4"/>
  <c r="BZ73" i="4" s="1"/>
  <c r="AU3" i="4"/>
  <c r="CH70" i="4"/>
  <c r="BZ72" i="4"/>
  <c r="CA70" i="4"/>
  <c r="AP39" i="4"/>
  <c r="CF71" i="4"/>
  <c r="BA1" i="4" a="1"/>
  <c r="BA1" i="4" s="1"/>
  <c r="AN81" i="4" a="1"/>
  <c r="AN81" i="4" s="1"/>
  <c r="AQ79" i="4" a="1"/>
  <c r="AQ79" i="4" s="1"/>
  <c r="AY2" i="4" a="1"/>
  <c r="AV4" i="4" a="1"/>
  <c r="CC72" i="4" a="1"/>
  <c r="CD71" i="4" a="1"/>
  <c r="BB1" i="4" a="1"/>
  <c r="CB72" i="4" a="1"/>
  <c r="CJ70" i="4" l="1" a="1"/>
  <c r="CJ70" i="4" s="1"/>
  <c r="CI70" i="4" s="1"/>
  <c r="CB72" i="4"/>
  <c r="BB1" i="4"/>
  <c r="CD71" i="4"/>
  <c r="CJ71" i="4" s="1" a="1"/>
  <c r="CJ71" i="4" s="1"/>
  <c r="CI71" i="4" s="1"/>
  <c r="CC72" i="4"/>
  <c r="AV4" i="4"/>
  <c r="AY2" i="4"/>
  <c r="AR79" i="4"/>
  <c r="AM83" i="4"/>
  <c r="AQ83" i="4"/>
  <c r="AN78" i="4"/>
  <c r="AP79" i="4" s="1"/>
  <c r="AM79" i="4" a="1"/>
  <c r="AM79" i="4" s="1"/>
  <c r="AP80" i="4"/>
  <c r="AO83" i="4"/>
  <c r="AN80" i="4"/>
  <c r="AM84" i="4"/>
  <c r="AN83" i="4"/>
  <c r="AV3" i="4"/>
  <c r="AY6" i="4"/>
  <c r="AX3" i="4"/>
  <c r="AV6" i="4"/>
  <c r="CE73" i="4" s="1"/>
  <c r="AV1" i="4"/>
  <c r="BY73" i="4" s="1"/>
  <c r="AW6" i="4"/>
  <c r="AU6" i="4"/>
  <c r="CE72" i="4" a="1"/>
  <c r="BG1" i="4" a="1"/>
  <c r="BY72" i="4" a="1"/>
  <c r="CF72" i="4" a="1"/>
  <c r="AP81" i="4" a="1"/>
  <c r="AU2" i="4" a="1"/>
  <c r="AX2" i="4"/>
  <c r="AV44" i="4" a="1"/>
  <c r="AY7" i="4"/>
  <c r="CA72" i="4" a="1"/>
  <c r="CA73" i="4" l="1"/>
  <c r="CA72" i="4"/>
  <c r="CH73" i="4"/>
  <c r="AV44" i="4"/>
  <c r="AU2" i="4"/>
  <c r="AP81" i="4"/>
  <c r="CF72" i="4"/>
  <c r="BY72" i="4"/>
  <c r="BG1" i="4"/>
  <c r="CE72" i="4"/>
  <c r="CB73" i="4"/>
  <c r="AZ2" i="4"/>
  <c r="CC73" i="4"/>
  <c r="AW7" i="4"/>
  <c r="CG73" i="4" s="1"/>
  <c r="AU7" i="4"/>
  <c r="CF73" i="4" s="1"/>
  <c r="AQ84" i="4" a="1"/>
  <c r="AQ84" i="4" s="1"/>
  <c r="AO84" i="4"/>
  <c r="BZ74" i="4" a="1"/>
  <c r="BB3" i="4" a="1"/>
  <c r="CH72" i="4" a="1"/>
  <c r="AX4" i="4" a="1"/>
  <c r="CD72" i="4" a="1"/>
  <c r="CG72" i="4" a="1"/>
  <c r="BZ74" i="4" l="1"/>
  <c r="CG72" i="4"/>
  <c r="CD72" i="4"/>
  <c r="AX4" i="4"/>
  <c r="CD73" i="4" s="1"/>
  <c r="CJ73" i="4" s="1" a="1"/>
  <c r="CJ73" i="4" s="1"/>
  <c r="CI73" i="4" s="1"/>
  <c r="CH72" i="4"/>
  <c r="BB3" i="4"/>
  <c r="AY44" i="4" a="1"/>
  <c r="AY44" i="4" s="1"/>
  <c r="AV46" i="4" a="1"/>
  <c r="AV46" i="4" s="1"/>
  <c r="AT8" i="4" a="1"/>
  <c r="AT8" i="4" s="1"/>
  <c r="BC2" i="4" a="1"/>
  <c r="BB43" i="4" a="1"/>
  <c r="CB74" i="4" a="1"/>
  <c r="CC74" i="4" a="1"/>
  <c r="AU8" i="4" a="1"/>
  <c r="BB43" i="4" l="1"/>
  <c r="BC2" i="4"/>
  <c r="BZ75" i="4" s="1"/>
  <c r="CJ72" i="4" a="1"/>
  <c r="CJ72" i="4" s="1"/>
  <c r="CI72" i="4" s="1"/>
  <c r="CC74" i="4"/>
  <c r="CB74" i="4"/>
  <c r="AU8" i="4"/>
  <c r="AY48" i="4"/>
  <c r="AW48" i="4"/>
  <c r="AU49" i="4"/>
  <c r="AV43" i="4"/>
  <c r="AV45" i="4"/>
  <c r="AV48" i="4"/>
  <c r="AU44" i="4" a="1"/>
  <c r="AU44" i="4" s="1"/>
  <c r="AX45" i="4"/>
  <c r="AU48" i="4"/>
  <c r="BF6" i="4"/>
  <c r="BC4" i="4" a="1"/>
  <c r="BC4" i="4" s="1"/>
  <c r="CC75" i="4" s="1"/>
  <c r="BE4" i="4" a="1"/>
  <c r="BE4" i="4" s="1"/>
  <c r="CD75" i="4" s="1"/>
  <c r="BF2" i="4" a="1"/>
  <c r="BF2" i="4" s="1"/>
  <c r="CB75" i="4" s="1"/>
  <c r="BE3" i="4"/>
  <c r="BB6" i="4"/>
  <c r="BD6" i="4"/>
  <c r="BC3" i="4"/>
  <c r="BC1" i="4"/>
  <c r="BC6" i="4"/>
  <c r="CE75" i="4" s="1"/>
  <c r="BE46" i="4" a="1"/>
  <c r="BE46" i="4" s="1"/>
  <c r="AZ44" i="4"/>
  <c r="CD76" i="4" a="1"/>
  <c r="CF74" i="4" a="1"/>
  <c r="CE74" i="4" a="1"/>
  <c r="BY74" i="4" a="1"/>
  <c r="AZ8" i="4" a="1"/>
  <c r="BC44" i="4" a="1"/>
  <c r="AX46" i="4" a="1"/>
  <c r="AX44" i="4" l="1"/>
  <c r="CD76" i="4"/>
  <c r="CE74" i="4"/>
  <c r="CF74" i="4"/>
  <c r="AW49" i="4"/>
  <c r="BY74" i="4"/>
  <c r="AY49" i="4" a="1"/>
  <c r="AY49" i="4" s="1"/>
  <c r="AX46" i="4"/>
  <c r="BC44" i="4"/>
  <c r="AZ8" i="4"/>
  <c r="BE2" i="4"/>
  <c r="CA75" i="4" s="1"/>
  <c r="BG2" i="4"/>
  <c r="BD7" i="4"/>
  <c r="CG75" i="4" s="1"/>
  <c r="BB7" i="4"/>
  <c r="CF75" i="4" s="1"/>
  <c r="BY75" i="4"/>
  <c r="BF7" i="4"/>
  <c r="CH75" i="4" s="1"/>
  <c r="BB2" i="4" a="1"/>
  <c r="BB2" i="4" s="1"/>
  <c r="CA74" i="4" a="1"/>
  <c r="BZ76" i="4" a="1"/>
  <c r="CG74" i="4" a="1"/>
  <c r="CH74" i="4" a="1"/>
  <c r="CD74" i="4" a="1"/>
  <c r="AV9" i="4" a="1"/>
  <c r="AU50" i="4" a="1"/>
  <c r="AU10" i="4" a="1"/>
  <c r="CJ75" i="4" l="1" a="1"/>
  <c r="CJ75" i="4" s="1"/>
  <c r="CI75" i="4" s="1"/>
  <c r="CA74" i="4"/>
  <c r="BZ76" i="4"/>
  <c r="CD74" i="4"/>
  <c r="CH74" i="4"/>
  <c r="CG74" i="4"/>
  <c r="AU10" i="4"/>
  <c r="AU50" i="4"/>
  <c r="AV9" i="4"/>
  <c r="BA8" i="4" a="1"/>
  <c r="BA8" i="4" s="1"/>
  <c r="BC46" i="4" a="1"/>
  <c r="BC46" i="4" s="1"/>
  <c r="BF44" i="4" a="1"/>
  <c r="BF44" i="4" s="1"/>
  <c r="BZ77" i="4" a="1"/>
  <c r="CC76" i="4" a="1"/>
  <c r="CB76" i="4" a="1"/>
  <c r="BB8" i="4" a="1"/>
  <c r="CJ74" i="4" l="1" a="1"/>
  <c r="CJ74" i="4" s="1"/>
  <c r="CI74" i="4" s="1"/>
  <c r="BZ77" i="4"/>
  <c r="CB76" i="4"/>
  <c r="CC76" i="4"/>
  <c r="BB8" i="4"/>
  <c r="BC45" i="4"/>
  <c r="BF48" i="4"/>
  <c r="BB44" i="4" a="1"/>
  <c r="BB44" i="4" s="1"/>
  <c r="BE45" i="4"/>
  <c r="BD48" i="4"/>
  <c r="BC48" i="4"/>
  <c r="BB49" i="4"/>
  <c r="BB48" i="4"/>
  <c r="BC43" i="4"/>
  <c r="BG44" i="4"/>
  <c r="AX10" i="4"/>
  <c r="AW13" i="4"/>
  <c r="AU13" i="4"/>
  <c r="AX11" i="4" a="1"/>
  <c r="AX11" i="4" s="1"/>
  <c r="AX53" i="4" a="1"/>
  <c r="AX53" i="4" s="1"/>
  <c r="AV13" i="4"/>
  <c r="AV11" i="4" a="1"/>
  <c r="AV11" i="4" s="1"/>
  <c r="AY9" i="4" a="1"/>
  <c r="AY9" i="4" s="1"/>
  <c r="AV8" i="4"/>
  <c r="AV10" i="4"/>
  <c r="AY13" i="4"/>
  <c r="BY76" i="4" a="1"/>
  <c r="BY77" i="4" a="1"/>
  <c r="CD78" i="4" a="1"/>
  <c r="CD77" i="4" a="1"/>
  <c r="CE77" i="4" a="1"/>
  <c r="CB77" i="4" a="1"/>
  <c r="CC77" i="4" a="1"/>
  <c r="CE76" i="4" a="1"/>
  <c r="CF76" i="4" a="1"/>
  <c r="BG8" i="4" a="1"/>
  <c r="AV51" i="4" a="1"/>
  <c r="BY76" i="4" l="1"/>
  <c r="BY77" i="4"/>
  <c r="CD78" i="4"/>
  <c r="CC77" i="4"/>
  <c r="CB77" i="4"/>
  <c r="CE77" i="4"/>
  <c r="CD77" i="4"/>
  <c r="AU9" i="4" a="1"/>
  <c r="AU9" i="4" s="1"/>
  <c r="CF76" i="4"/>
  <c r="CE76" i="4"/>
  <c r="BD49" i="4"/>
  <c r="BF49" i="4" a="1"/>
  <c r="BF49" i="4" s="1"/>
  <c r="BE44" i="4"/>
  <c r="AV51" i="4"/>
  <c r="BG8" i="4"/>
  <c r="AY14" i="4"/>
  <c r="AX9" i="4"/>
  <c r="AZ9" i="4"/>
  <c r="AW14" i="4"/>
  <c r="AU14" i="4"/>
  <c r="BZ78" i="4" a="1"/>
  <c r="CF77" i="4" a="1"/>
  <c r="CH77" i="4" a="1"/>
  <c r="CG77" i="4" a="1"/>
  <c r="CA77" i="4" a="1"/>
  <c r="CA76" i="4" a="1"/>
  <c r="CH76" i="4" a="1"/>
  <c r="CG76" i="4" a="1"/>
  <c r="BB10" i="4" a="1"/>
  <c r="BB50" i="4" a="1"/>
  <c r="BC9" i="4" a="1"/>
  <c r="BZ78" i="4" l="1"/>
  <c r="CA77" i="4"/>
  <c r="CG77" i="4"/>
  <c r="CH77" i="4"/>
  <c r="CF77" i="4"/>
  <c r="CG76" i="4"/>
  <c r="CH76" i="4"/>
  <c r="CA76" i="4"/>
  <c r="BC9" i="4"/>
  <c r="BB50" i="4"/>
  <c r="BB10" i="4"/>
  <c r="AT15" i="4" a="1"/>
  <c r="AT15" i="4" s="1"/>
  <c r="AY51" i="4" a="1"/>
  <c r="AY51" i="4" s="1"/>
  <c r="AV53" i="4" a="1"/>
  <c r="AV53" i="4" s="1"/>
  <c r="BZ79" i="4" a="1"/>
  <c r="CC78" i="4" a="1"/>
  <c r="CB78" i="4" a="1"/>
  <c r="AU15" i="4" a="1"/>
  <c r="CJ76" i="4" l="1" a="1"/>
  <c r="CJ76" i="4" s="1"/>
  <c r="CI76" i="4" s="1"/>
  <c r="CJ77" i="4" a="1"/>
  <c r="CJ77" i="4" s="1"/>
  <c r="CI77" i="4" s="1"/>
  <c r="BZ79" i="4"/>
  <c r="CB78" i="4"/>
  <c r="CC78" i="4"/>
  <c r="AU15" i="4"/>
  <c r="AZ51" i="4"/>
  <c r="AU55" i="4"/>
  <c r="AX52" i="4"/>
  <c r="AU51" i="4" a="1"/>
  <c r="AU51" i="4" s="1"/>
  <c r="AV55" i="4"/>
  <c r="AY55" i="4"/>
  <c r="AW55" i="4"/>
  <c r="AV52" i="4"/>
  <c r="AV50" i="4"/>
  <c r="AU56" i="4"/>
  <c r="BC10" i="4"/>
  <c r="BE53" i="4" a="1"/>
  <c r="BE53" i="4" s="1"/>
  <c r="BF13" i="4"/>
  <c r="BC13" i="4"/>
  <c r="BF9" i="4" a="1"/>
  <c r="BF9" i="4" s="1"/>
  <c r="BC8" i="4"/>
  <c r="BE10" i="4"/>
  <c r="BB13" i="4"/>
  <c r="BC11" i="4" a="1"/>
  <c r="BC11" i="4" s="1"/>
  <c r="BD13" i="4"/>
  <c r="BE11" i="4" a="1"/>
  <c r="BE11" i="4" s="1"/>
  <c r="BY79" i="4" a="1"/>
  <c r="BY78" i="4" a="1"/>
  <c r="CD80" i="4" a="1"/>
  <c r="CD79" i="4" a="1"/>
  <c r="CC79" i="4" a="1"/>
  <c r="CE79" i="4" a="1"/>
  <c r="CB79" i="4" a="1"/>
  <c r="CF78" i="4" a="1"/>
  <c r="CE78" i="4" a="1"/>
  <c r="AZ15" i="4" a="1"/>
  <c r="BC51" i="4" a="1"/>
  <c r="BY79" i="4" l="1"/>
  <c r="BY78" i="4"/>
  <c r="CD80" i="4"/>
  <c r="CB79" i="4"/>
  <c r="CE79" i="4"/>
  <c r="CC79" i="4"/>
  <c r="CD79" i="4"/>
  <c r="CE78" i="4"/>
  <c r="CF78" i="4"/>
  <c r="AW56" i="4"/>
  <c r="AY56" i="4" a="1"/>
  <c r="AY56" i="4" s="1"/>
  <c r="BC51" i="4"/>
  <c r="AZ15" i="4"/>
  <c r="BB9" i="4" a="1"/>
  <c r="BB9" i="4" s="1"/>
  <c r="BD14" i="4"/>
  <c r="BB14" i="4"/>
  <c r="AX51" i="4"/>
  <c r="BF14" i="4"/>
  <c r="BG9" i="4"/>
  <c r="BE9" i="4"/>
  <c r="CH79" i="4" a="1"/>
  <c r="BZ80" i="4" a="1"/>
  <c r="CG79" i="4" a="1"/>
  <c r="CF79" i="4" a="1"/>
  <c r="CA79" i="4" a="1"/>
  <c r="CA78" i="4" a="1"/>
  <c r="CG78" i="4" a="1"/>
  <c r="CH78" i="4" a="1"/>
  <c r="AV16" i="4" a="1"/>
  <c r="AU17" i="4" a="1"/>
  <c r="AU57" i="4" a="1"/>
  <c r="CH79" i="4" l="1"/>
  <c r="BZ80" i="4"/>
  <c r="CA79" i="4"/>
  <c r="CF79" i="4"/>
  <c r="CG79" i="4"/>
  <c r="CH78" i="4"/>
  <c r="CG78" i="4"/>
  <c r="CA78" i="4"/>
  <c r="AU57" i="4"/>
  <c r="AU17" i="4"/>
  <c r="AV16" i="4"/>
  <c r="BA15" i="4" a="1"/>
  <c r="BA15" i="4" s="1"/>
  <c r="BC53" i="4" a="1"/>
  <c r="BC53" i="4" s="1"/>
  <c r="BF51" i="4" a="1"/>
  <c r="BF51" i="4" s="1"/>
  <c r="BZ81" i="4" a="1"/>
  <c r="CC80" i="4" a="1"/>
  <c r="CB80" i="4" a="1"/>
  <c r="BB15" i="4" a="1"/>
  <c r="CJ78" i="4" l="1" a="1"/>
  <c r="CJ78" i="4" s="1"/>
  <c r="CI78" i="4" s="1"/>
  <c r="CJ79" i="4" a="1"/>
  <c r="CJ79" i="4" s="1"/>
  <c r="CI79" i="4" s="1"/>
  <c r="BZ81" i="4"/>
  <c r="CB80" i="4"/>
  <c r="CC80" i="4"/>
  <c r="BB15" i="4"/>
  <c r="BF55" i="4"/>
  <c r="BB51" i="4" a="1"/>
  <c r="BB51" i="4" s="1"/>
  <c r="BE52" i="4"/>
  <c r="BD55" i="4"/>
  <c r="BC50" i="4"/>
  <c r="BC55" i="4"/>
  <c r="BC52" i="4"/>
  <c r="BB56" i="4"/>
  <c r="BB55" i="4"/>
  <c r="BG51" i="4"/>
  <c r="AV17" i="4"/>
  <c r="AY16" i="4" a="1"/>
  <c r="AY16" i="4" s="1"/>
  <c r="AX60" i="4" a="1"/>
  <c r="AX60" i="4" s="1"/>
  <c r="AY20" i="4"/>
  <c r="AW20" i="4"/>
  <c r="AV20" i="4"/>
  <c r="AV18" i="4" a="1"/>
  <c r="AV18" i="4" s="1"/>
  <c r="AV15" i="4"/>
  <c r="AX18" i="4" a="1"/>
  <c r="AX18" i="4" s="1"/>
  <c r="AU20" i="4"/>
  <c r="AX17" i="4"/>
  <c r="CD82" i="4" a="1"/>
  <c r="CC81" i="4" a="1"/>
  <c r="CB81" i="4" a="1"/>
  <c r="BY81" i="4" a="1"/>
  <c r="CE81" i="4" a="1"/>
  <c r="CD81" i="4" a="1"/>
  <c r="BY80" i="4" a="1"/>
  <c r="CE80" i="4" a="1"/>
  <c r="CF80" i="4" a="1"/>
  <c r="BG15" i="4" a="1"/>
  <c r="AV58" i="4" a="1"/>
  <c r="CD81" i="4" l="1"/>
  <c r="CE81" i="4"/>
  <c r="BY81" i="4"/>
  <c r="CB81" i="4"/>
  <c r="CC81" i="4"/>
  <c r="CD82" i="4"/>
  <c r="AU16" i="4" a="1"/>
  <c r="AU16" i="4" s="1"/>
  <c r="BY80" i="4"/>
  <c r="CF80" i="4"/>
  <c r="CE80" i="4"/>
  <c r="BF56" i="4" a="1"/>
  <c r="BF56" i="4" s="1"/>
  <c r="BD56" i="4"/>
  <c r="AV58" i="4"/>
  <c r="BG15" i="4"/>
  <c r="AZ16" i="4"/>
  <c r="AX16" i="4"/>
  <c r="AY21" i="4"/>
  <c r="BE51" i="4"/>
  <c r="AU21" i="4"/>
  <c r="AW21" i="4"/>
  <c r="CH81" i="4" a="1"/>
  <c r="CF81" i="4" a="1"/>
  <c r="CG81" i="4" a="1"/>
  <c r="CA81" i="4" a="1"/>
  <c r="BZ82" i="4" a="1"/>
  <c r="CH80" i="4" a="1"/>
  <c r="CA80" i="4" a="1"/>
  <c r="CG80" i="4" a="1"/>
  <c r="BB17" i="4" a="1"/>
  <c r="BC16" i="4" a="1"/>
  <c r="BB57" i="4" a="1"/>
  <c r="BZ82" i="4" l="1"/>
  <c r="CA81" i="4"/>
  <c r="CG81" i="4"/>
  <c r="CF81" i="4"/>
  <c r="CH81" i="4"/>
  <c r="CH80" i="4"/>
  <c r="CG80" i="4"/>
  <c r="CA80" i="4"/>
  <c r="BB57" i="4"/>
  <c r="BC16" i="4"/>
  <c r="BB17" i="4"/>
  <c r="AT22" i="4" a="1"/>
  <c r="AT22" i="4" s="1"/>
  <c r="AY58" i="4" a="1"/>
  <c r="AY58" i="4" s="1"/>
  <c r="AV60" i="4" a="1"/>
  <c r="AV60" i="4" s="1"/>
  <c r="CB82" i="4" a="1"/>
  <c r="CC82" i="4" a="1"/>
  <c r="BZ83" i="4" a="1"/>
  <c r="AU22" i="4" a="1"/>
  <c r="CJ80" i="4" l="1" a="1"/>
  <c r="CJ80" i="4" s="1"/>
  <c r="CI80" i="4" s="1"/>
  <c r="CJ81" i="4" a="1"/>
  <c r="CJ81" i="4" s="1"/>
  <c r="CI81" i="4" s="1"/>
  <c r="BZ83" i="4"/>
  <c r="CC82" i="4"/>
  <c r="CB82" i="4"/>
  <c r="AU22" i="4"/>
  <c r="AV57" i="4"/>
  <c r="AU62" i="4"/>
  <c r="AX59" i="4"/>
  <c r="AU58" i="4" a="1"/>
  <c r="AU58" i="4" s="1"/>
  <c r="AY62" i="4"/>
  <c r="AW62" i="4"/>
  <c r="AV59" i="4"/>
  <c r="AV62" i="4"/>
  <c r="AU63" i="4"/>
  <c r="AZ58" i="4"/>
  <c r="BC20" i="4"/>
  <c r="BF16" i="4" a="1"/>
  <c r="BF16" i="4" s="1"/>
  <c r="BF20" i="4"/>
  <c r="BD20" i="4"/>
  <c r="BE18" i="4" a="1"/>
  <c r="BE18" i="4" s="1"/>
  <c r="BC15" i="4"/>
  <c r="BB20" i="4"/>
  <c r="BE17" i="4"/>
  <c r="BC18" i="4" a="1"/>
  <c r="BC18" i="4" s="1"/>
  <c r="BE60" i="4" a="1"/>
  <c r="BE60" i="4" s="1"/>
  <c r="BC17" i="4"/>
  <c r="CD83" i="4" a="1"/>
  <c r="CE82" i="4" a="1"/>
  <c r="BY83" i="4" a="1"/>
  <c r="BY82" i="4" a="1"/>
  <c r="CF82" i="4" a="1"/>
  <c r="CB83" i="4" a="1"/>
  <c r="CD84" i="4" a="1"/>
  <c r="CE83" i="4" a="1"/>
  <c r="CC83" i="4" a="1"/>
  <c r="AZ22" i="4" a="1"/>
  <c r="BC58" i="4" a="1"/>
  <c r="CC83" i="4" l="1"/>
  <c r="CE83" i="4"/>
  <c r="CD84" i="4"/>
  <c r="CB83" i="4"/>
  <c r="CF82" i="4"/>
  <c r="BY82" i="4"/>
  <c r="BY83" i="4"/>
  <c r="CE82" i="4"/>
  <c r="CD83" i="4"/>
  <c r="AY63" i="4" a="1"/>
  <c r="AY63" i="4" s="1"/>
  <c r="AW63" i="4"/>
  <c r="AX58" i="4"/>
  <c r="BC58" i="4"/>
  <c r="AZ22" i="4"/>
  <c r="BD21" i="4"/>
  <c r="BB21" i="4"/>
  <c r="BF21" i="4"/>
  <c r="BE16" i="4"/>
  <c r="BG16" i="4"/>
  <c r="BB16" i="4" a="1"/>
  <c r="BB16" i="4" s="1"/>
  <c r="CH83" i="4" a="1"/>
  <c r="CH82" i="4" a="1"/>
  <c r="CA83" i="4" a="1"/>
  <c r="CG82" i="4" a="1"/>
  <c r="CA82" i="4" a="1"/>
  <c r="BZ84" i="4" a="1"/>
  <c r="CG83" i="4" a="1"/>
  <c r="CF83" i="4" a="1"/>
  <c r="AV23" i="4" a="1"/>
  <c r="AU64" i="4" a="1"/>
  <c r="AU24" i="4" a="1"/>
  <c r="CF83" i="4" l="1"/>
  <c r="CG83" i="4"/>
  <c r="BZ84" i="4"/>
  <c r="CA82" i="4"/>
  <c r="CG82" i="4"/>
  <c r="CA83" i="4"/>
  <c r="CH82" i="4"/>
  <c r="CH83" i="4"/>
  <c r="AU24" i="4"/>
  <c r="AU64" i="4"/>
  <c r="AV23" i="4"/>
  <c r="BA22" i="4" a="1"/>
  <c r="BA22" i="4" s="1"/>
  <c r="BC60" i="4" a="1"/>
  <c r="BC60" i="4" s="1"/>
  <c r="BF58" i="4" a="1"/>
  <c r="BF58" i="4" s="1"/>
  <c r="BZ85" i="4" a="1"/>
  <c r="CC84" i="4" a="1"/>
  <c r="CB84" i="4" a="1"/>
  <c r="BB22" i="4" a="1"/>
  <c r="CJ83" i="4" l="1" a="1"/>
  <c r="CJ83" i="4" s="1"/>
  <c r="CI83" i="4" s="1"/>
  <c r="CJ82" i="4" a="1"/>
  <c r="CJ82" i="4" s="1"/>
  <c r="CI82" i="4" s="1"/>
  <c r="BZ85" i="4"/>
  <c r="CB84" i="4"/>
  <c r="CC84" i="4"/>
  <c r="BB22" i="4"/>
  <c r="BG58" i="4"/>
  <c r="AX25" i="4" a="1"/>
  <c r="AX25" i="4" s="1"/>
  <c r="AY23" i="4" a="1"/>
  <c r="AY23" i="4" s="1"/>
  <c r="AX67" i="4" a="1"/>
  <c r="AX67" i="4" s="1"/>
  <c r="AY27" i="4"/>
  <c r="AW27" i="4"/>
  <c r="AV24" i="4"/>
  <c r="AV22" i="4"/>
  <c r="AV27" i="4"/>
  <c r="AU27" i="4"/>
  <c r="AV25" i="4" a="1"/>
  <c r="AV25" i="4" s="1"/>
  <c r="AX24" i="4"/>
  <c r="BC59" i="4"/>
  <c r="BB62" i="4"/>
  <c r="BD62" i="4"/>
  <c r="BC62" i="4"/>
  <c r="BB58" i="4" a="1"/>
  <c r="BB58" i="4" s="1"/>
  <c r="BC57" i="4"/>
  <c r="BF62" i="4"/>
  <c r="BB63" i="4"/>
  <c r="BE59" i="4"/>
  <c r="BY85" i="4" a="1"/>
  <c r="CE85" i="4" a="1"/>
  <c r="CD85" i="4" a="1"/>
  <c r="CC85" i="4" a="1"/>
  <c r="CD86" i="4" a="1"/>
  <c r="CB85" i="4" a="1"/>
  <c r="CE84" i="4" a="1"/>
  <c r="CF84" i="4" a="1"/>
  <c r="BY84" i="4" a="1"/>
  <c r="BG22" i="4" a="1"/>
  <c r="AV65" i="4" a="1"/>
  <c r="CB85" i="4" l="1"/>
  <c r="CD86" i="4"/>
  <c r="CC85" i="4"/>
  <c r="CD85" i="4"/>
  <c r="CE85" i="4"/>
  <c r="BY85" i="4"/>
  <c r="BY84" i="4"/>
  <c r="CF84" i="4"/>
  <c r="CE84" i="4"/>
  <c r="BF63" i="4" a="1"/>
  <c r="BF63" i="4" s="1"/>
  <c r="BD63" i="4"/>
  <c r="AV65" i="4"/>
  <c r="BG22" i="4"/>
  <c r="AX23" i="4"/>
  <c r="AZ23" i="4"/>
  <c r="BE58" i="4"/>
  <c r="AU23" i="4" a="1"/>
  <c r="AU23" i="4" s="1"/>
  <c r="AU28" i="4"/>
  <c r="AW28" i="4"/>
  <c r="AY28" i="4"/>
  <c r="BZ86" i="4" a="1"/>
  <c r="CH85" i="4" a="1"/>
  <c r="CA85" i="4" a="1"/>
  <c r="CF85" i="4" a="1"/>
  <c r="CG85" i="4" a="1"/>
  <c r="CG84" i="4" a="1"/>
  <c r="CH84" i="4" a="1"/>
  <c r="CA84" i="4" a="1"/>
  <c r="BB24" i="4" a="1"/>
  <c r="BC23" i="4" a="1"/>
  <c r="BB64" i="4" a="1"/>
  <c r="CG85" i="4" l="1"/>
  <c r="CF85" i="4"/>
  <c r="CA85" i="4"/>
  <c r="CH85" i="4"/>
  <c r="BZ86" i="4"/>
  <c r="CA84" i="4"/>
  <c r="CH84" i="4"/>
  <c r="CG84" i="4"/>
  <c r="BB64" i="4"/>
  <c r="BC23" i="4"/>
  <c r="BB24" i="4"/>
  <c r="AT29" i="4" a="1"/>
  <c r="AT29" i="4" s="1"/>
  <c r="AY65" i="4" a="1"/>
  <c r="AY65" i="4" s="1"/>
  <c r="AV67" i="4" a="1"/>
  <c r="AV67" i="4" s="1"/>
  <c r="BZ87" i="4" a="1"/>
  <c r="CB86" i="4" a="1"/>
  <c r="CC86" i="4" a="1"/>
  <c r="AU29" i="4" a="1"/>
  <c r="CJ85" i="4" l="1" a="1"/>
  <c r="CJ85" i="4" s="1"/>
  <c r="CI85" i="4" s="1"/>
  <c r="CJ84" i="4" a="1"/>
  <c r="CJ84" i="4" s="1"/>
  <c r="CI84" i="4" s="1"/>
  <c r="CC86" i="4"/>
  <c r="CB86" i="4"/>
  <c r="BZ87" i="4"/>
  <c r="AU29" i="4"/>
  <c r="AV66" i="4"/>
  <c r="AY69" i="4"/>
  <c r="AU65" i="4" a="1"/>
  <c r="AU65" i="4" s="1"/>
  <c r="AW69" i="4"/>
  <c r="AU69" i="4"/>
  <c r="AU70" i="4"/>
  <c r="AV64" i="4"/>
  <c r="AV69" i="4"/>
  <c r="AX66" i="4"/>
  <c r="BF27" i="4"/>
  <c r="BC24" i="4"/>
  <c r="BE24" i="4"/>
  <c r="BC27" i="4"/>
  <c r="BE25" i="4" a="1"/>
  <c r="BE25" i="4" s="1"/>
  <c r="BF23" i="4" a="1"/>
  <c r="BF23" i="4" s="1"/>
  <c r="BC22" i="4"/>
  <c r="BB27" i="4"/>
  <c r="BE67" i="4" a="1"/>
  <c r="BE67" i="4" s="1"/>
  <c r="BD27" i="4"/>
  <c r="BC25" i="4" a="1"/>
  <c r="BC25" i="4" s="1"/>
  <c r="AZ65" i="4"/>
  <c r="CE87" i="4" a="1"/>
  <c r="CF86" i="4" a="1"/>
  <c r="CD87" i="4" a="1"/>
  <c r="BY86" i="4" a="1"/>
  <c r="CB87" i="4" a="1"/>
  <c r="CE86" i="4" a="1"/>
  <c r="BY87" i="4" a="1"/>
  <c r="CC87" i="4" a="1"/>
  <c r="CD88" i="4" a="1"/>
  <c r="AZ29" i="4" a="1"/>
  <c r="BC65" i="4" a="1"/>
  <c r="CD88" i="4" l="1"/>
  <c r="CC87" i="4"/>
  <c r="BY87" i="4"/>
  <c r="CE86" i="4"/>
  <c r="CB87" i="4"/>
  <c r="BY86" i="4"/>
  <c r="CD87" i="4"/>
  <c r="CF86" i="4"/>
  <c r="CE87" i="4"/>
  <c r="BB23" i="4" a="1"/>
  <c r="BB23" i="4" s="1"/>
  <c r="AW70" i="4"/>
  <c r="AY70" i="4" a="1"/>
  <c r="AY70" i="4" s="1"/>
  <c r="AX65" i="4"/>
  <c r="BC65" i="4"/>
  <c r="AZ29" i="4"/>
  <c r="BG23" i="4"/>
  <c r="BE23" i="4"/>
  <c r="BD28" i="4"/>
  <c r="BB28" i="4"/>
  <c r="BF28" i="4"/>
  <c r="CA87" i="4" a="1"/>
  <c r="CF87" i="4" a="1"/>
  <c r="CH86" i="4" a="1"/>
  <c r="CH87" i="4" a="1"/>
  <c r="BZ88" i="4" a="1"/>
  <c r="CA86" i="4" a="1"/>
  <c r="CG86" i="4" a="1"/>
  <c r="CG87" i="4" a="1"/>
  <c r="AU31" i="4" a="1"/>
  <c r="AU71" i="4" a="1"/>
  <c r="AV30" i="4" a="1"/>
  <c r="CG87" i="4" l="1"/>
  <c r="CG86" i="4"/>
  <c r="CA86" i="4"/>
  <c r="BZ88" i="4"/>
  <c r="CH87" i="4"/>
  <c r="CH86" i="4"/>
  <c r="CF87" i="4"/>
  <c r="CA87" i="4"/>
  <c r="AV30" i="4"/>
  <c r="AU71" i="4"/>
  <c r="AU31" i="4"/>
  <c r="BA29" i="4" a="1"/>
  <c r="BA29" i="4" s="1"/>
  <c r="BC67" i="4" a="1"/>
  <c r="BC67" i="4" s="1"/>
  <c r="BF65" i="4" a="1"/>
  <c r="BF65" i="4" s="1"/>
  <c r="BZ89" i="4" a="1"/>
  <c r="CC88" i="4" a="1"/>
  <c r="CB88" i="4" a="1"/>
  <c r="BB29" i="4" a="1"/>
  <c r="CJ86" i="4" l="1" a="1"/>
  <c r="CJ86" i="4" s="1"/>
  <c r="CI86" i="4" s="1"/>
  <c r="CJ87" i="4" a="1"/>
  <c r="CJ87" i="4" s="1"/>
  <c r="CI87" i="4" s="1"/>
  <c r="BZ89" i="4"/>
  <c r="CB88" i="4"/>
  <c r="CC88" i="4"/>
  <c r="BB29" i="4"/>
  <c r="BC66" i="4"/>
  <c r="BD69" i="4"/>
  <c r="BC69" i="4"/>
  <c r="BB70" i="4"/>
  <c r="BF69" i="4"/>
  <c r="BB69" i="4"/>
  <c r="BC64" i="4"/>
  <c r="BB65" i="4" a="1"/>
  <c r="BB65" i="4" s="1"/>
  <c r="BE66" i="4"/>
  <c r="BG65" i="4"/>
  <c r="AV32" i="4" a="1"/>
  <c r="AV32" i="4" s="1"/>
  <c r="AY34" i="4"/>
  <c r="AV29" i="4"/>
  <c r="AX31" i="4"/>
  <c r="AX74" i="4" a="1"/>
  <c r="AX74" i="4" s="1"/>
  <c r="AV34" i="4"/>
  <c r="AY30" i="4" a="1"/>
  <c r="AY30" i="4" s="1"/>
  <c r="AW34" i="4"/>
  <c r="AX32" i="4" a="1"/>
  <c r="AX32" i="4" s="1"/>
  <c r="AV31" i="4"/>
  <c r="AU34" i="4"/>
  <c r="CD90" i="4" a="1"/>
  <c r="CE89" i="4" a="1"/>
  <c r="CB89" i="4" a="1"/>
  <c r="BY89" i="4" a="1"/>
  <c r="CC89" i="4" a="1"/>
  <c r="CD89" i="4" a="1"/>
  <c r="CE88" i="4" a="1"/>
  <c r="BY88" i="4" a="1"/>
  <c r="CF88" i="4" a="1"/>
  <c r="BG29" i="4" a="1"/>
  <c r="AV72" i="4" a="1"/>
  <c r="CD89" i="4" l="1"/>
  <c r="CC89" i="4"/>
  <c r="BY89" i="4"/>
  <c r="CB89" i="4"/>
  <c r="CE89" i="4"/>
  <c r="CD90" i="4"/>
  <c r="CF88" i="4"/>
  <c r="BY88" i="4"/>
  <c r="CE88" i="4"/>
  <c r="BF70" i="4" a="1"/>
  <c r="BF70" i="4" s="1"/>
  <c r="BD70" i="4"/>
  <c r="AV72" i="4"/>
  <c r="BG29" i="4"/>
  <c r="AU30" i="4" a="1"/>
  <c r="AU30" i="4" s="1"/>
  <c r="AW35" i="4"/>
  <c r="AU35" i="4"/>
  <c r="AY35" i="4"/>
  <c r="AX30" i="4"/>
  <c r="AZ30" i="4"/>
  <c r="BE65" i="4"/>
  <c r="BZ90" i="4" a="1"/>
  <c r="CH89" i="4" a="1"/>
  <c r="CA89" i="4" a="1"/>
  <c r="CG89" i="4" a="1"/>
  <c r="CF89" i="4" a="1"/>
  <c r="CH88" i="4" a="1"/>
  <c r="CG88" i="4" a="1"/>
  <c r="CA88" i="4" a="1"/>
  <c r="BC30" i="4" a="1"/>
  <c r="BB71" i="4" a="1"/>
  <c r="BB31" i="4" a="1"/>
  <c r="CF89" i="4" l="1"/>
  <c r="CG89" i="4"/>
  <c r="CA89" i="4"/>
  <c r="CH89" i="4"/>
  <c r="BZ90" i="4"/>
  <c r="CA88" i="4"/>
  <c r="CG88" i="4"/>
  <c r="CH88" i="4"/>
  <c r="BB31" i="4"/>
  <c r="BB71" i="4"/>
  <c r="BC30" i="4"/>
  <c r="AT36" i="4" a="1"/>
  <c r="AT36" i="4" s="1"/>
  <c r="AY72" i="4" a="1"/>
  <c r="AY72" i="4" s="1"/>
  <c r="AV74" i="4" a="1"/>
  <c r="AV74" i="4" s="1"/>
  <c r="BZ91" i="4" a="1"/>
  <c r="CB90" i="4" a="1"/>
  <c r="CC90" i="4" a="1"/>
  <c r="AU36" i="4" a="1"/>
  <c r="CJ88" i="4" l="1" a="1"/>
  <c r="CJ88" i="4" s="1"/>
  <c r="CI88" i="4" s="1"/>
  <c r="CJ89" i="4" a="1"/>
  <c r="CJ89" i="4" s="1"/>
  <c r="CI89" i="4" s="1"/>
  <c r="CC90" i="4"/>
  <c r="CB90" i="4"/>
  <c r="BZ91" i="4"/>
  <c r="AU36" i="4"/>
  <c r="AV76" i="4"/>
  <c r="AU72" i="4" a="1"/>
  <c r="AU72" i="4" s="1"/>
  <c r="AY76" i="4"/>
  <c r="AU77" i="4"/>
  <c r="AU76" i="4"/>
  <c r="AV71" i="4"/>
  <c r="AX73" i="4"/>
  <c r="AV73" i="4"/>
  <c r="AW76" i="4"/>
  <c r="AZ72" i="4"/>
  <c r="BC34" i="4"/>
  <c r="BE31" i="4"/>
  <c r="BF30" i="4" a="1"/>
  <c r="BF30" i="4" s="1"/>
  <c r="BE32" i="4" a="1"/>
  <c r="BE32" i="4" s="1"/>
  <c r="BE74" i="4" a="1"/>
  <c r="BE74" i="4" s="1"/>
  <c r="BC29" i="4"/>
  <c r="BF34" i="4"/>
  <c r="BB34" i="4"/>
  <c r="BC32" i="4" a="1"/>
  <c r="BC32" i="4" s="1"/>
  <c r="BC31" i="4"/>
  <c r="BD34" i="4"/>
  <c r="CB91" i="4" a="1"/>
  <c r="BY90" i="4" a="1"/>
  <c r="BY91" i="4" a="1"/>
  <c r="CE90" i="4" a="1"/>
  <c r="CD91" i="4" a="1"/>
  <c r="CE91" i="4" a="1"/>
  <c r="CC91" i="4" a="1"/>
  <c r="CF90" i="4" a="1"/>
  <c r="CD92" i="4" a="1"/>
  <c r="AZ36" i="4" a="1"/>
  <c r="BC72" i="4" a="1"/>
  <c r="CD92" i="4" l="1"/>
  <c r="CF90" i="4"/>
  <c r="CC91" i="4"/>
  <c r="CE91" i="4"/>
  <c r="CD91" i="4"/>
  <c r="CE90" i="4"/>
  <c r="BY91" i="4"/>
  <c r="BY90" i="4"/>
  <c r="CB91" i="4"/>
  <c r="AW77" i="4"/>
  <c r="AY77" i="4" a="1"/>
  <c r="AY77" i="4" s="1"/>
  <c r="BC72" i="4"/>
  <c r="AZ36" i="4"/>
  <c r="BE30" i="4"/>
  <c r="BG30" i="4"/>
  <c r="BB30" i="4" a="1"/>
  <c r="BB30" i="4" s="1"/>
  <c r="BB35" i="4"/>
  <c r="BD35" i="4"/>
  <c r="AX72" i="4"/>
  <c r="BF35" i="4"/>
  <c r="CH90" i="4" a="1"/>
  <c r="CA90" i="4" a="1"/>
  <c r="BZ92" i="4" a="1"/>
  <c r="CH91" i="4" a="1"/>
  <c r="CA91" i="4" a="1"/>
  <c r="CG90" i="4" a="1"/>
  <c r="CF91" i="4" a="1"/>
  <c r="CG91" i="4" a="1"/>
  <c r="AV37" i="4" a="1"/>
  <c r="AU38" i="4" a="1"/>
  <c r="AU78" i="4" a="1"/>
  <c r="CG91" i="4" l="1"/>
  <c r="CF91" i="4"/>
  <c r="CG90" i="4"/>
  <c r="CA91" i="4"/>
  <c r="CH91" i="4"/>
  <c r="BZ92" i="4"/>
  <c r="CA90" i="4"/>
  <c r="CH90" i="4"/>
  <c r="AU78" i="4"/>
  <c r="AU38" i="4"/>
  <c r="AV37" i="4"/>
  <c r="BA36" i="4" a="1"/>
  <c r="BA36" i="4" s="1"/>
  <c r="BF72" i="4" a="1"/>
  <c r="BF72" i="4" s="1"/>
  <c r="BC74" i="4" a="1"/>
  <c r="BC74" i="4" s="1"/>
  <c r="BZ93" i="4" a="1"/>
  <c r="CB92" i="4" a="1"/>
  <c r="CC92" i="4" a="1"/>
  <c r="BB36" i="4" a="1"/>
  <c r="CJ90" i="4" l="1" a="1"/>
  <c r="CJ90" i="4" s="1"/>
  <c r="CI90" i="4" s="1"/>
  <c r="CJ91" i="4" a="1"/>
  <c r="CJ91" i="4" s="1"/>
  <c r="CI91" i="4" s="1"/>
  <c r="BZ93" i="4"/>
  <c r="CC92" i="4"/>
  <c r="CB92" i="4"/>
  <c r="BB36" i="4"/>
  <c r="BG72" i="4"/>
  <c r="BC76" i="4"/>
  <c r="BB77" i="4"/>
  <c r="BB76" i="4"/>
  <c r="BC73" i="4"/>
  <c r="BD76" i="4"/>
  <c r="BC71" i="4"/>
  <c r="BF76" i="4"/>
  <c r="BB72" i="4" a="1"/>
  <c r="BB72" i="4" s="1"/>
  <c r="BE73" i="4"/>
  <c r="AX38" i="4"/>
  <c r="AV41" i="4"/>
  <c r="AW41" i="4"/>
  <c r="AV39" i="4" a="1"/>
  <c r="AV39" i="4" s="1"/>
  <c r="AY37" i="4" a="1"/>
  <c r="AY37" i="4" s="1"/>
  <c r="AY41" i="4"/>
  <c r="AU41" i="4"/>
  <c r="AX39" i="4" a="1"/>
  <c r="AX39" i="4" s="1"/>
  <c r="AV38" i="4"/>
  <c r="AX81" i="4" a="1"/>
  <c r="AX81" i="4" s="1"/>
  <c r="AV36" i="4"/>
  <c r="CB93" i="4" a="1"/>
  <c r="CD93" i="4" a="1"/>
  <c r="CD94" i="4" a="1"/>
  <c r="CE93" i="4" a="1"/>
  <c r="BY93" i="4" a="1"/>
  <c r="CC93" i="4" a="1"/>
  <c r="CF92" i="4" a="1"/>
  <c r="CE92" i="4" a="1"/>
  <c r="BY92" i="4" a="1"/>
  <c r="BG36" i="4" a="1"/>
  <c r="AV79" i="4" a="1"/>
  <c r="CC93" i="4" l="1"/>
  <c r="BY93" i="4"/>
  <c r="CE93" i="4"/>
  <c r="CD94" i="4"/>
  <c r="CD93" i="4"/>
  <c r="CB93" i="4"/>
  <c r="AU37" i="4" a="1"/>
  <c r="AU37" i="4" s="1"/>
  <c r="BY92" i="4"/>
  <c r="CE92" i="4"/>
  <c r="CF92" i="4"/>
  <c r="BF77" i="4" a="1"/>
  <c r="BF77" i="4" s="1"/>
  <c r="BD77" i="4"/>
  <c r="BE72" i="4"/>
  <c r="AV79" i="4"/>
  <c r="BG36" i="4"/>
  <c r="AY42" i="4"/>
  <c r="AU42" i="4"/>
  <c r="AW42" i="4"/>
  <c r="AX37" i="4"/>
  <c r="AZ37" i="4"/>
  <c r="CA93" i="4" a="1"/>
  <c r="BZ94" i="4" a="1"/>
  <c r="CH93" i="4" a="1"/>
  <c r="CF93" i="4" a="1"/>
  <c r="CG93" i="4" a="1"/>
  <c r="CG92" i="4" a="1"/>
  <c r="CA92" i="4" a="1"/>
  <c r="CH92" i="4" a="1"/>
  <c r="BC37" i="4" a="1"/>
  <c r="BB78" i="4" a="1"/>
  <c r="BB38" i="4" a="1"/>
  <c r="CG93" i="4" l="1"/>
  <c r="CF93" i="4"/>
  <c r="CH93" i="4"/>
  <c r="BZ94" i="4"/>
  <c r="CA93" i="4"/>
  <c r="CH92" i="4"/>
  <c r="CA92" i="4"/>
  <c r="CG92" i="4"/>
  <c r="BB38" i="4"/>
  <c r="BB78" i="4"/>
  <c r="BC37" i="4"/>
  <c r="BI1" i="4" a="1"/>
  <c r="BI1" i="4" s="1"/>
  <c r="AY79" i="4" a="1"/>
  <c r="AY79" i="4" s="1"/>
  <c r="AV81" i="4" a="1"/>
  <c r="AV81" i="4" s="1"/>
  <c r="BZ95" i="4" a="1"/>
  <c r="CB94" i="4" a="1"/>
  <c r="CC94" i="4" a="1"/>
  <c r="BJ1" i="4" a="1"/>
  <c r="CJ93" i="4" l="1" a="1"/>
  <c r="CJ93" i="4" s="1"/>
  <c r="CI93" i="4" s="1"/>
  <c r="CJ92" i="4" a="1"/>
  <c r="CJ92" i="4" s="1"/>
  <c r="CI92" i="4" s="1"/>
  <c r="CC94" i="4"/>
  <c r="CB94" i="4"/>
  <c r="BZ95" i="4"/>
  <c r="BJ1" i="4"/>
  <c r="AU83" i="4"/>
  <c r="AV78" i="4"/>
  <c r="AX80" i="4"/>
  <c r="AU79" i="4" a="1"/>
  <c r="AU79" i="4" s="1"/>
  <c r="AV80" i="4"/>
  <c r="AW83" i="4"/>
  <c r="AU84" i="4"/>
  <c r="AY83" i="4"/>
  <c r="AV83" i="4"/>
  <c r="AZ79" i="4"/>
  <c r="BC38" i="4"/>
  <c r="BC41" i="4"/>
  <c r="BF41" i="4"/>
  <c r="BF37" i="4" a="1"/>
  <c r="BF37" i="4" s="1"/>
  <c r="BC36" i="4"/>
  <c r="BB41" i="4"/>
  <c r="BE81" i="4" a="1"/>
  <c r="BE81" i="4" s="1"/>
  <c r="BE38" i="4"/>
  <c r="BC39" i="4" a="1"/>
  <c r="BC39" i="4" s="1"/>
  <c r="BD41" i="4"/>
  <c r="BE39" i="4" a="1"/>
  <c r="BE39" i="4" s="1"/>
  <c r="CF94" i="4" a="1"/>
  <c r="BY95" i="4" a="1"/>
  <c r="CE94" i="4" a="1"/>
  <c r="CD96" i="4" a="1"/>
  <c r="CE95" i="4" a="1"/>
  <c r="CD95" i="4" a="1"/>
  <c r="BY94" i="4" a="1"/>
  <c r="CC95" i="4" a="1"/>
  <c r="CB95" i="4" a="1"/>
  <c r="BO1" i="4" a="1"/>
  <c r="BC79" i="4" a="1"/>
  <c r="CB95" i="4" l="1"/>
  <c r="CC95" i="4"/>
  <c r="BY94" i="4"/>
  <c r="CD95" i="4"/>
  <c r="CE95" i="4"/>
  <c r="CD96" i="4"/>
  <c r="CE94" i="4"/>
  <c r="BY95" i="4"/>
  <c r="CF94" i="4"/>
  <c r="AY84" i="4" a="1"/>
  <c r="AY84" i="4" s="1"/>
  <c r="AW84" i="4"/>
  <c r="AX79" i="4"/>
  <c r="BO1" i="4"/>
  <c r="BC79" i="4"/>
  <c r="BG37" i="4"/>
  <c r="BE37" i="4"/>
  <c r="BB37" i="4" a="1"/>
  <c r="BB37" i="4" s="1"/>
  <c r="BD42" i="4"/>
  <c r="BB42" i="4"/>
  <c r="BF42" i="4"/>
  <c r="CG94" i="4" a="1"/>
  <c r="CF95" i="4" a="1"/>
  <c r="CA94" i="4" a="1"/>
  <c r="CH95" i="4" a="1"/>
  <c r="BZ96" i="4" a="1"/>
  <c r="CG95" i="4" a="1"/>
  <c r="CA95" i="4" a="1"/>
  <c r="CH94" i="4" a="1"/>
  <c r="CH94" i="4" l="1"/>
  <c r="CA95" i="4"/>
  <c r="CG95" i="4"/>
  <c r="BZ96" i="4"/>
  <c r="CH95" i="4"/>
  <c r="CA94" i="4"/>
  <c r="CF95" i="4"/>
  <c r="CG94" i="4"/>
  <c r="BP1" i="4" a="1"/>
  <c r="BP1" i="4" s="1"/>
  <c r="BC81" i="4" a="1"/>
  <c r="BC81" i="4" s="1"/>
  <c r="BF79" i="4" a="1"/>
  <c r="BF79" i="4" s="1"/>
  <c r="CB96" i="4" a="1"/>
  <c r="CC96" i="4" a="1"/>
  <c r="BJ43" i="4" a="1"/>
  <c r="BJ3" i="4" a="1"/>
  <c r="BQ1" i="4" a="1"/>
  <c r="BK2" i="4" a="1"/>
  <c r="CJ94" i="4" l="1" a="1"/>
  <c r="CJ94" i="4" s="1"/>
  <c r="CI94" i="4" s="1"/>
  <c r="CJ95" i="4" a="1"/>
  <c r="CJ95" i="4" s="1"/>
  <c r="CI95" i="4" s="1"/>
  <c r="CC96" i="4"/>
  <c r="CB96" i="4"/>
  <c r="BK2" i="4"/>
  <c r="BZ97" i="4" s="1"/>
  <c r="BQ1" i="4"/>
  <c r="BJ3" i="4"/>
  <c r="BJ43" i="4"/>
  <c r="BG79" i="4"/>
  <c r="BC83" i="4"/>
  <c r="BC80" i="4"/>
  <c r="BB84" i="4"/>
  <c r="BB79" i="4" a="1"/>
  <c r="BB79" i="4" s="1"/>
  <c r="BB83" i="4"/>
  <c r="BF83" i="4"/>
  <c r="BE80" i="4"/>
  <c r="BC78" i="4"/>
  <c r="BD83" i="4"/>
  <c r="BY96" i="4" a="1"/>
  <c r="CF96" i="4" a="1"/>
  <c r="CE96" i="4" a="1"/>
  <c r="BV1" i="4" a="1"/>
  <c r="CE96" i="4" l="1"/>
  <c r="CF96" i="4"/>
  <c r="BY96" i="4"/>
  <c r="BD84" i="4"/>
  <c r="BF84" i="4" a="1"/>
  <c r="BF84" i="4" s="1"/>
  <c r="BV1" i="4"/>
  <c r="BN6" i="4"/>
  <c r="BM3" i="4"/>
  <c r="BL6" i="4"/>
  <c r="BM4" i="4" a="1"/>
  <c r="BM4" i="4" s="1"/>
  <c r="CD97" i="4" s="1"/>
  <c r="BK3" i="4"/>
  <c r="BK6" i="4"/>
  <c r="CE97" i="4" s="1"/>
  <c r="BJ6" i="4"/>
  <c r="BK4" i="4" a="1"/>
  <c r="BK4" i="4" s="1"/>
  <c r="BK1" i="4"/>
  <c r="BY97" i="4" s="1"/>
  <c r="BM46" i="4" a="1"/>
  <c r="BM46" i="4" s="1"/>
  <c r="BN2" i="4" a="1"/>
  <c r="BN2" i="4" s="1"/>
  <c r="CB97" i="4" s="1"/>
  <c r="BE79" i="4"/>
  <c r="CD98" i="4" a="1"/>
  <c r="CG96" i="4" a="1"/>
  <c r="CH96" i="4" a="1"/>
  <c r="CA96" i="4" a="1"/>
  <c r="BK44" i="4" a="1"/>
  <c r="CD98" i="4" l="1"/>
  <c r="BJ2" i="4" a="1"/>
  <c r="BJ2" i="4" s="1"/>
  <c r="CC97" i="4"/>
  <c r="CA96" i="4"/>
  <c r="CH96" i="4"/>
  <c r="CG96" i="4"/>
  <c r="BK44" i="4"/>
  <c r="BO2" i="4"/>
  <c r="BM2" i="4"/>
  <c r="CA97" i="4" s="1"/>
  <c r="BN7" i="4"/>
  <c r="CH97" i="4" s="1"/>
  <c r="BL7" i="4"/>
  <c r="CG97" i="4" s="1"/>
  <c r="BJ7" i="4"/>
  <c r="CF97" i="4" s="1"/>
  <c r="BI8" i="4" a="1"/>
  <c r="BI8" i="4" s="1"/>
  <c r="BZ98" i="4" a="1"/>
  <c r="BQ3" i="4" a="1"/>
  <c r="BJ8" i="4" a="1"/>
  <c r="BQ43" i="4" a="1"/>
  <c r="BR2" i="4" a="1"/>
  <c r="CJ96" i="4" l="1" a="1"/>
  <c r="CJ96" i="4" s="1"/>
  <c r="CI96" i="4" s="1"/>
  <c r="CJ97" i="4" a="1"/>
  <c r="CJ97" i="4" s="1"/>
  <c r="CI97" i="4" s="1"/>
  <c r="BZ98" i="4"/>
  <c r="BR2" i="4"/>
  <c r="BZ99" i="4" s="1"/>
  <c r="BQ43" i="4"/>
  <c r="BJ8" i="4"/>
  <c r="BQ3" i="4"/>
  <c r="BN44" i="4" a="1"/>
  <c r="BN44" i="4" s="1"/>
  <c r="BK46" i="4" a="1"/>
  <c r="BK46" i="4" s="1"/>
  <c r="CB98" i="4" a="1"/>
  <c r="CC98" i="4" a="1"/>
  <c r="BO8" i="4" a="1"/>
  <c r="CC98" i="4" l="1"/>
  <c r="CB98" i="4"/>
  <c r="BO8" i="4"/>
  <c r="BT46" i="4" a="1"/>
  <c r="BT46" i="4" s="1"/>
  <c r="BU6" i="4"/>
  <c r="BT3" i="4"/>
  <c r="BS6" i="4"/>
  <c r="BT4" i="4" a="1"/>
  <c r="BT4" i="4" s="1"/>
  <c r="CD99" i="4" s="1"/>
  <c r="BR3" i="4"/>
  <c r="BR4" i="4" a="1"/>
  <c r="BR4" i="4" s="1"/>
  <c r="BU2" i="4" a="1"/>
  <c r="BU2" i="4" s="1"/>
  <c r="CB99" i="4" s="1"/>
  <c r="BR6" i="4"/>
  <c r="CE99" i="4" s="1"/>
  <c r="BQ6" i="4"/>
  <c r="BR1" i="4"/>
  <c r="BY99" i="4" s="1"/>
  <c r="BK48" i="4"/>
  <c r="BJ49" i="4"/>
  <c r="BJ48" i="4"/>
  <c r="BK43" i="4"/>
  <c r="BM45" i="4"/>
  <c r="BK45" i="4"/>
  <c r="BN48" i="4"/>
  <c r="BL48" i="4"/>
  <c r="BJ44" i="4" a="1"/>
  <c r="BJ44" i="4" s="1"/>
  <c r="BO44" i="4"/>
  <c r="CD100" i="4" a="1"/>
  <c r="CF98" i="4" a="1"/>
  <c r="CE98" i="4" a="1"/>
  <c r="BY98" i="4" a="1"/>
  <c r="BR44" i="4" a="1"/>
  <c r="CD100" i="4" l="1"/>
  <c r="CE98" i="4"/>
  <c r="CF98" i="4"/>
  <c r="BL49" i="4"/>
  <c r="BY98" i="4"/>
  <c r="BN49" i="4" a="1"/>
  <c r="BN49" i="4" s="1"/>
  <c r="BQ2" i="4" a="1"/>
  <c r="BQ2" i="4" s="1"/>
  <c r="CC99" i="4"/>
  <c r="BR44" i="4"/>
  <c r="BQ7" i="4"/>
  <c r="CF99" i="4" s="1"/>
  <c r="BS7" i="4"/>
  <c r="CG99" i="4" s="1"/>
  <c r="BM44" i="4"/>
  <c r="BV2" i="4"/>
  <c r="BT2" i="4"/>
  <c r="CA99" i="4" s="1"/>
  <c r="BP8" i="4" a="1"/>
  <c r="BP8" i="4" s="1"/>
  <c r="BU7" i="4"/>
  <c r="CH99" i="4" s="1"/>
  <c r="BZ100" i="4" a="1"/>
  <c r="CG98" i="4" a="1"/>
  <c r="CA98" i="4" a="1"/>
  <c r="CH98" i="4" a="1"/>
  <c r="BJ10" i="4" a="1"/>
  <c r="BQ8" i="4" a="1"/>
  <c r="BK9" i="4" a="1"/>
  <c r="BJ50" i="4" a="1"/>
  <c r="CJ99" i="4" l="1" a="1"/>
  <c r="CJ99" i="4" s="1"/>
  <c r="CI99" i="4" s="1"/>
  <c r="BZ100" i="4"/>
  <c r="CH98" i="4"/>
  <c r="CA98" i="4"/>
  <c r="CG98" i="4"/>
  <c r="BJ50" i="4"/>
  <c r="BK9" i="4"/>
  <c r="BQ8" i="4"/>
  <c r="BJ10" i="4"/>
  <c r="BU44" i="4" a="1"/>
  <c r="BU44" i="4" s="1"/>
  <c r="BR46" i="4" a="1"/>
  <c r="BR46" i="4" s="1"/>
  <c r="BZ101" i="4" a="1"/>
  <c r="CB100" i="4" a="1"/>
  <c r="CC100" i="4" a="1"/>
  <c r="BV8" i="4" a="1"/>
  <c r="CJ98" i="4" l="1" a="1"/>
  <c r="CJ98" i="4" s="1"/>
  <c r="CI98" i="4" s="1"/>
  <c r="BZ101" i="4"/>
  <c r="CC100" i="4"/>
  <c r="CB100" i="4"/>
  <c r="BV8" i="4"/>
  <c r="BK13" i="4"/>
  <c r="BJ13" i="4"/>
  <c r="BK11" i="4" a="1"/>
  <c r="BK11" i="4" s="1"/>
  <c r="BK8" i="4"/>
  <c r="BN9" i="4" a="1"/>
  <c r="BN9" i="4" s="1"/>
  <c r="BM53" i="4" a="1"/>
  <c r="BM53" i="4" s="1"/>
  <c r="BM11" i="4" a="1"/>
  <c r="BM11" i="4" s="1"/>
  <c r="BM10" i="4"/>
  <c r="BK10" i="4"/>
  <c r="BL13" i="4"/>
  <c r="BN13" i="4"/>
  <c r="BU48" i="4"/>
  <c r="BT45" i="4"/>
  <c r="BS48" i="4"/>
  <c r="BR45" i="4"/>
  <c r="BR48" i="4"/>
  <c r="BQ49" i="4"/>
  <c r="BQ48" i="4"/>
  <c r="BR43" i="4"/>
  <c r="BQ44" i="4" a="1"/>
  <c r="BQ44" i="4" s="1"/>
  <c r="BV44" i="4"/>
  <c r="BY100" i="4" a="1"/>
  <c r="CD102" i="4" a="1"/>
  <c r="CB101" i="4" a="1"/>
  <c r="CD101" i="4" a="1"/>
  <c r="CE101" i="4" a="1"/>
  <c r="BY101" i="4" a="1"/>
  <c r="CC101" i="4" a="1"/>
  <c r="CF100" i="4" a="1"/>
  <c r="CE100" i="4" a="1"/>
  <c r="BK51" i="4" a="1"/>
  <c r="BY100" i="4" l="1"/>
  <c r="CD102" i="4"/>
  <c r="CC101" i="4"/>
  <c r="BY101" i="4"/>
  <c r="CE101" i="4"/>
  <c r="CD101" i="4"/>
  <c r="CB101" i="4"/>
  <c r="BJ9" i="4" a="1"/>
  <c r="BJ9" i="4" s="1"/>
  <c r="CE100" i="4"/>
  <c r="CF100" i="4"/>
  <c r="BS49" i="4"/>
  <c r="BU49" i="4" a="1"/>
  <c r="BU49" i="4" s="1"/>
  <c r="BT44" i="4"/>
  <c r="BK51" i="4"/>
  <c r="BI15" i="4" a="1"/>
  <c r="BI15" i="4" s="1"/>
  <c r="BO9" i="4"/>
  <c r="BM9" i="4"/>
  <c r="BN14" i="4"/>
  <c r="BL14" i="4"/>
  <c r="BJ14" i="4"/>
  <c r="BZ102" i="4" a="1"/>
  <c r="CH101" i="4" a="1"/>
  <c r="CG101" i="4" a="1"/>
  <c r="CF101" i="4" a="1"/>
  <c r="CA101" i="4" a="1"/>
  <c r="CH100" i="4" a="1"/>
  <c r="CA100" i="4" a="1"/>
  <c r="CG100" i="4" a="1"/>
  <c r="BQ50" i="4" a="1"/>
  <c r="BR9" i="4" a="1"/>
  <c r="BJ15" i="4" a="1"/>
  <c r="BQ10" i="4" a="1"/>
  <c r="BZ102" i="4" l="1"/>
  <c r="CA101" i="4"/>
  <c r="CF101" i="4"/>
  <c r="CG101" i="4"/>
  <c r="CH101" i="4"/>
  <c r="CG100" i="4"/>
  <c r="CA100" i="4"/>
  <c r="CH100" i="4"/>
  <c r="BQ10" i="4"/>
  <c r="BJ15" i="4"/>
  <c r="BR9" i="4"/>
  <c r="BQ50" i="4"/>
  <c r="BK53" i="4" a="1"/>
  <c r="BK53" i="4" s="1"/>
  <c r="BN51" i="4" a="1"/>
  <c r="BN51" i="4" s="1"/>
  <c r="BZ103" i="4" a="1"/>
  <c r="CC102" i="4" a="1"/>
  <c r="CB102" i="4" a="1"/>
  <c r="BO15" i="4" a="1"/>
  <c r="CJ100" i="4" l="1" a="1"/>
  <c r="CJ100" i="4" s="1"/>
  <c r="CI100" i="4" s="1"/>
  <c r="CJ101" i="4" a="1"/>
  <c r="CJ101" i="4" s="1"/>
  <c r="CI101" i="4" s="1"/>
  <c r="BZ103" i="4"/>
  <c r="CB102" i="4"/>
  <c r="CC102" i="4"/>
  <c r="BO15" i="4"/>
  <c r="BO51" i="4"/>
  <c r="BT53" i="4" a="1"/>
  <c r="BT53" i="4" s="1"/>
  <c r="BU13" i="4"/>
  <c r="BT10" i="4"/>
  <c r="BS13" i="4"/>
  <c r="BT11" i="4" a="1"/>
  <c r="BT11" i="4" s="1"/>
  <c r="BR10" i="4"/>
  <c r="BR13" i="4"/>
  <c r="BU9" i="4" a="1"/>
  <c r="BU9" i="4" s="1"/>
  <c r="BR8" i="4"/>
  <c r="BQ13" i="4"/>
  <c r="BR11" i="4" a="1"/>
  <c r="BR11" i="4" s="1"/>
  <c r="BM52" i="4"/>
  <c r="BK52" i="4"/>
  <c r="BN55" i="4"/>
  <c r="BL55" i="4"/>
  <c r="BJ56" i="4"/>
  <c r="BK55" i="4"/>
  <c r="BJ55" i="4"/>
  <c r="BK50" i="4"/>
  <c r="BJ51" i="4" a="1"/>
  <c r="BJ51" i="4" s="1"/>
  <c r="CD104" i="4" a="1"/>
  <c r="CE103" i="4" a="1"/>
  <c r="CB103" i="4" a="1"/>
  <c r="CD103" i="4" a="1"/>
  <c r="BY103" i="4" a="1"/>
  <c r="CC103" i="4" a="1"/>
  <c r="CF102" i="4" a="1"/>
  <c r="CE102" i="4" a="1"/>
  <c r="BY102" i="4" a="1"/>
  <c r="BR51" i="4" a="1"/>
  <c r="CK81" i="4" l="1" a="1"/>
  <c r="CK81" i="4" s="1"/>
  <c r="CK31" i="4" a="1"/>
  <c r="CK31" i="4" s="1"/>
  <c r="CK67" i="4" a="1"/>
  <c r="CK67" i="4" s="1"/>
  <c r="CK59" i="4" a="1"/>
  <c r="CK59" i="4" s="1"/>
  <c r="CK111" i="4" a="1"/>
  <c r="CK111" i="4" s="1"/>
  <c r="CK96" i="4" a="1"/>
  <c r="CK96" i="4" s="1"/>
  <c r="CK27" i="4" a="1"/>
  <c r="CK27" i="4" s="1"/>
  <c r="CK106" i="4" a="1"/>
  <c r="CK106" i="4" s="1"/>
  <c r="CK40" i="4" a="1"/>
  <c r="CK40" i="4" s="1"/>
  <c r="CK66" i="4" a="1"/>
  <c r="CK66" i="4" s="1"/>
  <c r="CK87" i="4" a="1"/>
  <c r="CK87" i="4" s="1"/>
  <c r="CK49" i="4" a="1"/>
  <c r="CK49" i="4" s="1"/>
  <c r="CK28" i="4" a="1"/>
  <c r="CK28" i="4" s="1"/>
  <c r="CK103" i="4" a="1"/>
  <c r="CK103" i="4" s="1"/>
  <c r="CK26" i="4" a="1"/>
  <c r="CK26" i="4" s="1"/>
  <c r="CK104" i="4" a="1"/>
  <c r="CK104" i="4" s="1"/>
  <c r="CK30" i="4" a="1"/>
  <c r="CK30" i="4" s="1"/>
  <c r="CK38" i="4" a="1"/>
  <c r="CK38" i="4" s="1"/>
  <c r="CK89" i="4" a="1"/>
  <c r="CK89" i="4" s="1"/>
  <c r="CK120" i="4" a="1"/>
  <c r="CK120" i="4" s="1"/>
  <c r="CK83" i="4" a="1"/>
  <c r="CK83" i="4" s="1"/>
  <c r="CK47" i="4" a="1"/>
  <c r="CK47" i="4" s="1"/>
  <c r="CK37" i="4" a="1"/>
  <c r="CK37" i="4" s="1"/>
  <c r="CK101" i="4" a="1"/>
  <c r="CK101" i="4" s="1"/>
  <c r="CK116" i="4" a="1"/>
  <c r="CK116" i="4" s="1"/>
  <c r="CK100" i="4" a="1"/>
  <c r="CK100" i="4" s="1"/>
  <c r="CK32" i="4" a="1"/>
  <c r="CK32" i="4" s="1"/>
  <c r="CK79" i="4" a="1"/>
  <c r="CK79" i="4" s="1"/>
  <c r="CK90" i="4" a="1"/>
  <c r="CK90" i="4" s="1"/>
  <c r="CK114" i="4" a="1"/>
  <c r="CK114" i="4" s="1"/>
  <c r="CK72" i="4" a="1"/>
  <c r="CK72" i="4" s="1"/>
  <c r="CK29" i="4" a="1"/>
  <c r="CK29" i="4" s="1"/>
  <c r="CK39" i="4" a="1"/>
  <c r="CK39" i="4" s="1"/>
  <c r="CK88" i="4" a="1"/>
  <c r="CK88" i="4" s="1"/>
  <c r="CK23" i="4" a="1"/>
  <c r="CK23" i="4" s="1"/>
  <c r="CK76" i="4" a="1"/>
  <c r="CK76" i="4" s="1"/>
  <c r="CK56" i="4" a="1"/>
  <c r="CK56" i="4" s="1"/>
  <c r="CK42" i="4" a="1"/>
  <c r="CK42" i="4" s="1"/>
  <c r="CK119" i="4" a="1"/>
  <c r="CK119" i="4" s="1"/>
  <c r="CK115" i="4" a="1"/>
  <c r="CK115" i="4" s="1"/>
  <c r="CK99" i="4" a="1"/>
  <c r="CK99" i="4" s="1"/>
  <c r="CK62" i="4" a="1"/>
  <c r="CK62" i="4" s="1"/>
  <c r="CK71" i="4" a="1"/>
  <c r="CK71" i="4" s="1"/>
  <c r="CK117" i="4" a="1"/>
  <c r="CK117" i="4" s="1"/>
  <c r="CK77" i="4" a="1"/>
  <c r="CK77" i="4" s="1"/>
  <c r="CK65" i="4" a="1"/>
  <c r="CK65" i="4" s="1"/>
  <c r="CK95" i="4" a="1"/>
  <c r="CK95" i="4" s="1"/>
  <c r="CK48" i="4" a="1"/>
  <c r="CK48" i="4" s="1"/>
  <c r="CK86" i="4" a="1"/>
  <c r="CK86" i="4" s="1"/>
  <c r="CK112" i="4" a="1"/>
  <c r="CK112" i="4" s="1"/>
  <c r="CK69" i="4" a="1"/>
  <c r="CK69" i="4" s="1"/>
  <c r="CK22" i="4" a="1"/>
  <c r="CK22" i="4" s="1"/>
  <c r="CK45" i="4" a="1"/>
  <c r="CK45" i="4" s="1"/>
  <c r="CK21" i="4" a="1"/>
  <c r="CK21" i="4" s="1"/>
  <c r="CK58" i="4" a="1"/>
  <c r="CK58" i="4" s="1"/>
  <c r="CK70" i="4" a="1"/>
  <c r="CK70" i="4" s="1"/>
  <c r="CK55" i="4" a="1"/>
  <c r="CK55" i="4" s="1"/>
  <c r="CK113" i="4" a="1"/>
  <c r="CK113" i="4" s="1"/>
  <c r="CK82" i="4" a="1"/>
  <c r="CK82" i="4" s="1"/>
  <c r="CK24" i="4" a="1"/>
  <c r="CK24" i="4" s="1"/>
  <c r="CK35" i="4" a="1"/>
  <c r="CK35" i="4" s="1"/>
  <c r="CK105" i="4" a="1"/>
  <c r="CK105" i="4" s="1"/>
  <c r="CK78" i="4" a="1"/>
  <c r="CK78" i="4" s="1"/>
  <c r="CK68" i="4" a="1"/>
  <c r="CK68" i="4" s="1"/>
  <c r="CK63" i="4" a="1"/>
  <c r="CK63" i="4" s="1"/>
  <c r="CK91" i="4" a="1"/>
  <c r="CK91" i="4" s="1"/>
  <c r="CK53" i="4" a="1"/>
  <c r="CK53" i="4" s="1"/>
  <c r="CK25" i="4" a="1"/>
  <c r="CK25" i="4" s="1"/>
  <c r="CK107" i="4" a="1"/>
  <c r="CK107" i="4" s="1"/>
  <c r="CK36" i="4" a="1"/>
  <c r="CK36" i="4" s="1"/>
  <c r="CK92" i="4" a="1"/>
  <c r="CK92" i="4" s="1"/>
  <c r="CK54" i="4" a="1"/>
  <c r="CK54" i="4" s="1"/>
  <c r="CK84" i="4" a="1"/>
  <c r="CK84" i="4" s="1"/>
  <c r="CK93" i="4" a="1"/>
  <c r="CK93" i="4" s="1"/>
  <c r="CK94" i="4" a="1"/>
  <c r="CK94" i="4" s="1"/>
  <c r="CK75" i="4" a="1"/>
  <c r="CK75" i="4" s="1"/>
  <c r="CK46" i="4" a="1"/>
  <c r="CK46" i="4" s="1"/>
  <c r="CK73" i="4" a="1"/>
  <c r="CK73" i="4" s="1"/>
  <c r="CK44" i="4" a="1"/>
  <c r="CK44" i="4" s="1"/>
  <c r="CK98" i="4" a="1"/>
  <c r="CK98" i="4" s="1"/>
  <c r="CK50" i="4" a="1"/>
  <c r="CK50" i="4" s="1"/>
  <c r="CK57" i="4" a="1"/>
  <c r="CK57" i="4" s="1"/>
  <c r="CK118" i="4" a="1"/>
  <c r="CK118" i="4" s="1"/>
  <c r="CK51" i="4" a="1"/>
  <c r="CK51" i="4" s="1"/>
  <c r="CK97" i="4" a="1"/>
  <c r="CK97" i="4" s="1"/>
  <c r="CK43" i="4" a="1"/>
  <c r="CK43" i="4" s="1"/>
  <c r="CK108" i="4" a="1"/>
  <c r="CK108" i="4" s="1"/>
  <c r="CK102" i="4" a="1"/>
  <c r="CK102" i="4" s="1"/>
  <c r="CK34" i="4" a="1"/>
  <c r="CK34" i="4" s="1"/>
  <c r="CK64" i="4" a="1"/>
  <c r="CK64" i="4" s="1"/>
  <c r="CK110" i="4" a="1"/>
  <c r="CK110" i="4" s="1"/>
  <c r="CK80" i="4" a="1"/>
  <c r="CK80" i="4" s="1"/>
  <c r="CK85" i="4" a="1"/>
  <c r="CK85" i="4" s="1"/>
  <c r="CK41" i="4" a="1"/>
  <c r="CK41" i="4" s="1"/>
  <c r="CK74" i="4" a="1"/>
  <c r="CK74" i="4" s="1"/>
  <c r="CK33" i="4" a="1"/>
  <c r="CK33" i="4" s="1"/>
  <c r="CK52" i="4" a="1"/>
  <c r="CK52" i="4" s="1"/>
  <c r="CK61" i="4" a="1"/>
  <c r="CK61" i="4" s="1"/>
  <c r="CK109" i="4" a="1"/>
  <c r="CK109" i="4" s="1"/>
  <c r="CK60" i="4" a="1"/>
  <c r="CK60" i="4" s="1"/>
  <c r="CK1" i="4" a="1"/>
  <c r="CK1" i="4" s="1"/>
  <c r="CK11" i="4" a="1"/>
  <c r="CK11" i="4" s="1"/>
  <c r="CK5" i="4" a="1"/>
  <c r="CK5" i="4" s="1"/>
  <c r="CK16" i="4" a="1"/>
  <c r="CK16" i="4" s="1"/>
  <c r="CK20" i="4" a="1"/>
  <c r="CK20" i="4" s="1"/>
  <c r="CK17" i="4" a="1"/>
  <c r="CK17" i="4" s="1"/>
  <c r="CK12" i="4" a="1"/>
  <c r="CK12" i="4" s="1"/>
  <c r="CK15" i="4" a="1"/>
  <c r="CK15" i="4" s="1"/>
  <c r="CK8" i="4" a="1"/>
  <c r="CK8" i="4" s="1"/>
  <c r="CK14" i="4" a="1"/>
  <c r="CK14" i="4" s="1"/>
  <c r="CK10" i="4" a="1"/>
  <c r="CK10" i="4" s="1"/>
  <c r="CK19" i="4" a="1"/>
  <c r="CK19" i="4" s="1"/>
  <c r="CK2" i="4" a="1"/>
  <c r="CK2" i="4" s="1"/>
  <c r="CK18" i="4" a="1"/>
  <c r="CK18" i="4" s="1"/>
  <c r="CK13" i="4" a="1"/>
  <c r="CK13" i="4" s="1"/>
  <c r="CK4" i="4" a="1"/>
  <c r="CK4" i="4" s="1"/>
  <c r="CK7" i="4" a="1"/>
  <c r="CK7" i="4" s="1"/>
  <c r="CK3" i="4" a="1"/>
  <c r="CK3" i="4" s="1"/>
  <c r="CK6" i="4" a="1"/>
  <c r="CK6" i="4" s="1"/>
  <c r="CK9" i="4" a="1"/>
  <c r="CK9" i="4" s="1"/>
  <c r="CD104" i="4"/>
  <c r="CC103" i="4"/>
  <c r="BY103" i="4"/>
  <c r="CD103" i="4"/>
  <c r="CB103" i="4"/>
  <c r="CE103" i="4"/>
  <c r="BQ9" i="4" a="1"/>
  <c r="BQ9" i="4" s="1"/>
  <c r="BY102" i="4"/>
  <c r="CE102" i="4"/>
  <c r="CF102" i="4"/>
  <c r="BN56" i="4" a="1"/>
  <c r="BN56" i="4" s="1"/>
  <c r="BL56" i="4"/>
  <c r="BR51" i="4"/>
  <c r="BS14" i="4"/>
  <c r="BQ14" i="4"/>
  <c r="BV9" i="4"/>
  <c r="BT9" i="4"/>
  <c r="BM51" i="4"/>
  <c r="BU14" i="4"/>
  <c r="BP15" i="4" a="1"/>
  <c r="BP15" i="4" s="1"/>
  <c r="CL1" i="4" a="1"/>
  <c r="CL2" i="4" a="1"/>
  <c r="CM2" i="4" a="1"/>
  <c r="CU1" i="4" a="1"/>
  <c r="BZ104" i="4" a="1"/>
  <c r="CG103" i="4" a="1"/>
  <c r="CF103" i="4" a="1"/>
  <c r="CA103" i="4" a="1"/>
  <c r="CH103" i="4" a="1"/>
  <c r="CA102" i="4" a="1"/>
  <c r="CH102" i="4" a="1"/>
  <c r="CG102" i="4" a="1"/>
  <c r="BJ57" i="4" a="1"/>
  <c r="BQ15" i="4" a="1"/>
  <c r="BJ17" i="4" a="1"/>
  <c r="BK16" i="4" a="1"/>
  <c r="CL1" i="4" l="1"/>
  <c r="CL102" i="4" a="1"/>
  <c r="CL102" i="4" s="1"/>
  <c r="CM102" i="4" a="1"/>
  <c r="CM102" i="4" s="1"/>
  <c r="CR102" i="4" a="1"/>
  <c r="CR102" i="4" s="1"/>
  <c r="CN102" i="4" a="1"/>
  <c r="CN102" i="4" s="1"/>
  <c r="CS102" i="4" a="1"/>
  <c r="CS102" i="4" s="1"/>
  <c r="CT102" i="4" a="1"/>
  <c r="CT102" i="4" s="1"/>
  <c r="CO102" i="4" a="1"/>
  <c r="CO102" i="4" s="1"/>
  <c r="CU102" i="4" a="1"/>
  <c r="CU102" i="4" s="1"/>
  <c r="CP102" i="4" a="1"/>
  <c r="CP102" i="4" s="1"/>
  <c r="CQ102" i="4" a="1"/>
  <c r="CQ102" i="4" s="1"/>
  <c r="CT98" i="4" a="1"/>
  <c r="CT98" i="4" s="1"/>
  <c r="CO98" i="4" a="1"/>
  <c r="CO98" i="4" s="1"/>
  <c r="CU98" i="4" a="1"/>
  <c r="CU98" i="4" s="1"/>
  <c r="CP98" i="4" a="1"/>
  <c r="CP98" i="4" s="1"/>
  <c r="CQ98" i="4" a="1"/>
  <c r="CQ98" i="4" s="1"/>
  <c r="CL98" i="4" a="1"/>
  <c r="CL98" i="4" s="1"/>
  <c r="CM98" i="4" a="1"/>
  <c r="CM98" i="4" s="1"/>
  <c r="CR98" i="4" a="1"/>
  <c r="CR98" i="4" s="1"/>
  <c r="CS98" i="4" a="1"/>
  <c r="CS98" i="4" s="1"/>
  <c r="CN98" i="4" a="1"/>
  <c r="CN98" i="4" s="1"/>
  <c r="CS54" i="4" a="1"/>
  <c r="CS54" i="4" s="1"/>
  <c r="CP54" i="4" a="1"/>
  <c r="CP54" i="4" s="1"/>
  <c r="CL54" i="4" a="1"/>
  <c r="CL54" i="4" s="1"/>
  <c r="CQ54" i="4" a="1"/>
  <c r="CQ54" i="4" s="1"/>
  <c r="CU54" i="4" a="1"/>
  <c r="CU54" i="4" s="1"/>
  <c r="CM54" i="4" a="1"/>
  <c r="CM54" i="4" s="1"/>
  <c r="CR54" i="4" a="1"/>
  <c r="CR54" i="4" s="1"/>
  <c r="CT54" i="4" a="1"/>
  <c r="CT54" i="4" s="1"/>
  <c r="CN54" i="4" a="1"/>
  <c r="CN54" i="4" s="1"/>
  <c r="CO54" i="4" a="1"/>
  <c r="CO54" i="4" s="1"/>
  <c r="CL68" i="4" a="1"/>
  <c r="CL68" i="4" s="1"/>
  <c r="CR68" i="4" a="1"/>
  <c r="CR68" i="4" s="1"/>
  <c r="CO68" i="4" a="1"/>
  <c r="CO68" i="4" s="1"/>
  <c r="CT68" i="4" a="1"/>
  <c r="CT68" i="4" s="1"/>
  <c r="CU68" i="4" a="1"/>
  <c r="CU68" i="4" s="1"/>
  <c r="CP68" i="4" a="1"/>
  <c r="CP68" i="4" s="1"/>
  <c r="CM68" i="4" a="1"/>
  <c r="CM68" i="4" s="1"/>
  <c r="CN68" i="4" a="1"/>
  <c r="CN68" i="4" s="1"/>
  <c r="CQ68" i="4" a="1"/>
  <c r="CQ68" i="4" s="1"/>
  <c r="CS68" i="4" a="1"/>
  <c r="CS68" i="4" s="1"/>
  <c r="CM70" i="4" a="1"/>
  <c r="CM70" i="4" s="1"/>
  <c r="CR70" i="4" a="1"/>
  <c r="CR70" i="4" s="1"/>
  <c r="CO70" i="4" a="1"/>
  <c r="CO70" i="4" s="1"/>
  <c r="CT70" i="4" a="1"/>
  <c r="CT70" i="4" s="1"/>
  <c r="CP70" i="4" a="1"/>
  <c r="CP70" i="4" s="1"/>
  <c r="CL70" i="4" a="1"/>
  <c r="CL70" i="4" s="1"/>
  <c r="CU70" i="4" a="1"/>
  <c r="CU70" i="4" s="1"/>
  <c r="CQ70" i="4" a="1"/>
  <c r="CQ70" i="4" s="1"/>
  <c r="CS70" i="4" a="1"/>
  <c r="CS70" i="4" s="1"/>
  <c r="CN70" i="4" a="1"/>
  <c r="CN70" i="4" s="1"/>
  <c r="CO48" i="4" a="1"/>
  <c r="CO48" i="4" s="1"/>
  <c r="CL48" i="4" a="1"/>
  <c r="CL48" i="4" s="1"/>
  <c r="CQ48" i="4" a="1"/>
  <c r="CQ48" i="4" s="1"/>
  <c r="CM48" i="4" a="1"/>
  <c r="CM48" i="4" s="1"/>
  <c r="CR48" i="4" a="1"/>
  <c r="CR48" i="4" s="1"/>
  <c r="CN48" i="4" a="1"/>
  <c r="CN48" i="4" s="1"/>
  <c r="CP48" i="4" a="1"/>
  <c r="CP48" i="4" s="1"/>
  <c r="CS48" i="4" a="1"/>
  <c r="CS48" i="4" s="1"/>
  <c r="CT48" i="4" a="1"/>
  <c r="CT48" i="4" s="1"/>
  <c r="CU48" i="4" a="1"/>
  <c r="CU48" i="4" s="1"/>
  <c r="CL115" i="4" a="1"/>
  <c r="CL115" i="4" s="1"/>
  <c r="CP115" i="4" a="1"/>
  <c r="CP115" i="4" s="1"/>
  <c r="CT115" i="4" a="1"/>
  <c r="CT115" i="4" s="1"/>
  <c r="CM115" i="4" a="1"/>
  <c r="CM115" i="4" s="1"/>
  <c r="CQ115" i="4" a="1"/>
  <c r="CQ115" i="4" s="1"/>
  <c r="CU115" i="4" a="1"/>
  <c r="CU115" i="4" s="1"/>
  <c r="CO115" i="4" a="1"/>
  <c r="CO115" i="4" s="1"/>
  <c r="CR115" i="4" a="1"/>
  <c r="CR115" i="4" s="1"/>
  <c r="CS115" i="4" a="1"/>
  <c r="CS115" i="4" s="1"/>
  <c r="CN115" i="4" a="1"/>
  <c r="CN115" i="4" s="1"/>
  <c r="CL101" i="4" a="1"/>
  <c r="CL101" i="4" s="1"/>
  <c r="CQ101" i="4" a="1"/>
  <c r="CQ101" i="4" s="1"/>
  <c r="CR101" i="4" a="1"/>
  <c r="CR101" i="4" s="1"/>
  <c r="CM101" i="4" a="1"/>
  <c r="CM101" i="4" s="1"/>
  <c r="CS101" i="4" a="1"/>
  <c r="CS101" i="4" s="1"/>
  <c r="CN101" i="4" a="1"/>
  <c r="CN101" i="4" s="1"/>
  <c r="CO101" i="4" a="1"/>
  <c r="CO101" i="4" s="1"/>
  <c r="CT101" i="4" a="1"/>
  <c r="CT101" i="4" s="1"/>
  <c r="CP101" i="4" a="1"/>
  <c r="CP101" i="4" s="1"/>
  <c r="CU101" i="4" a="1"/>
  <c r="CU101" i="4" s="1"/>
  <c r="CM104" i="4" a="1"/>
  <c r="CM104" i="4" s="1"/>
  <c r="CQ104" i="4" a="1"/>
  <c r="CQ104" i="4" s="1"/>
  <c r="CU104" i="4" a="1"/>
  <c r="CU104" i="4" s="1"/>
  <c r="CN104" i="4" a="1"/>
  <c r="CN104" i="4" s="1"/>
  <c r="CR104" i="4" a="1"/>
  <c r="CR104" i="4" s="1"/>
  <c r="CO104" i="4" a="1"/>
  <c r="CO104" i="4" s="1"/>
  <c r="CS104" i="4" a="1"/>
  <c r="CS104" i="4" s="1"/>
  <c r="CL104" i="4" a="1"/>
  <c r="CL104" i="4" s="1"/>
  <c r="CP104" i="4" a="1"/>
  <c r="CP104" i="4" s="1"/>
  <c r="CT104" i="4" a="1"/>
  <c r="CT104" i="4" s="1"/>
  <c r="CM106" i="4" a="1"/>
  <c r="CM106" i="4" s="1"/>
  <c r="CQ106" i="4" a="1"/>
  <c r="CQ106" i="4" s="1"/>
  <c r="CU106" i="4" a="1"/>
  <c r="CU106" i="4" s="1"/>
  <c r="CN106" i="4" a="1"/>
  <c r="CN106" i="4" s="1"/>
  <c r="CR106" i="4" a="1"/>
  <c r="CR106" i="4" s="1"/>
  <c r="CO106" i="4" a="1"/>
  <c r="CO106" i="4" s="1"/>
  <c r="CS106" i="4" a="1"/>
  <c r="CS106" i="4" s="1"/>
  <c r="CT106" i="4" a="1"/>
  <c r="CT106" i="4" s="1"/>
  <c r="CL106" i="4" a="1"/>
  <c r="CL106" i="4" s="1"/>
  <c r="CP106" i="4" a="1"/>
  <c r="CP106" i="4" s="1"/>
  <c r="CN74" i="4" a="1"/>
  <c r="CN74" i="4" s="1"/>
  <c r="CR74" i="4" a="1"/>
  <c r="CR74" i="4" s="1"/>
  <c r="CL74" i="4" a="1"/>
  <c r="CL74" i="4" s="1"/>
  <c r="CP74" i="4" a="1"/>
  <c r="CP74" i="4" s="1"/>
  <c r="CT74" i="4" a="1"/>
  <c r="CT74" i="4" s="1"/>
  <c r="CM74" i="4" a="1"/>
  <c r="CM74" i="4" s="1"/>
  <c r="CQ74" i="4" a="1"/>
  <c r="CQ74" i="4" s="1"/>
  <c r="CU74" i="4" a="1"/>
  <c r="CU74" i="4" s="1"/>
  <c r="CS74" i="4" a="1"/>
  <c r="CS74" i="4" s="1"/>
  <c r="CO74" i="4" a="1"/>
  <c r="CO74" i="4" s="1"/>
  <c r="CM108" i="4" a="1"/>
  <c r="CM108" i="4" s="1"/>
  <c r="CN108" i="4" a="1"/>
  <c r="CN108" i="4" s="1"/>
  <c r="CR108" i="4" a="1"/>
  <c r="CR108" i="4" s="1"/>
  <c r="CO108" i="4" a="1"/>
  <c r="CO108" i="4" s="1"/>
  <c r="CS108" i="4" a="1"/>
  <c r="CS108" i="4" s="1"/>
  <c r="CL108" i="4" a="1"/>
  <c r="CL108" i="4" s="1"/>
  <c r="CP108" i="4" a="1"/>
  <c r="CP108" i="4" s="1"/>
  <c r="CQ108" i="4" a="1"/>
  <c r="CQ108" i="4" s="1"/>
  <c r="CT108" i="4" a="1"/>
  <c r="CT108" i="4" s="1"/>
  <c r="CU108" i="4" a="1"/>
  <c r="CU108" i="4" s="1"/>
  <c r="CP44" i="4" a="1"/>
  <c r="CP44" i="4" s="1"/>
  <c r="CM44" i="4" a="1"/>
  <c r="CM44" i="4" s="1"/>
  <c r="CR44" i="4" a="1"/>
  <c r="CR44" i="4" s="1"/>
  <c r="CS44" i="4" a="1"/>
  <c r="CS44" i="4" s="1"/>
  <c r="CN44" i="4" a="1"/>
  <c r="CN44" i="4" s="1"/>
  <c r="CO44" i="4" a="1"/>
  <c r="CO44" i="4" s="1"/>
  <c r="CT44" i="4" a="1"/>
  <c r="CT44" i="4" s="1"/>
  <c r="CQ44" i="4" a="1"/>
  <c r="CQ44" i="4" s="1"/>
  <c r="CU44" i="4" a="1"/>
  <c r="CU44" i="4" s="1"/>
  <c r="CL44" i="4" a="1"/>
  <c r="CL44" i="4" s="1"/>
  <c r="CN92" i="4" a="1"/>
  <c r="CN92" i="4" s="1"/>
  <c r="CR92" i="4" a="1"/>
  <c r="CR92" i="4" s="1"/>
  <c r="CM92" i="4" a="1"/>
  <c r="CM92" i="4" s="1"/>
  <c r="CS92" i="4" a="1"/>
  <c r="CS92" i="4" s="1"/>
  <c r="CT92" i="4" a="1"/>
  <c r="CT92" i="4" s="1"/>
  <c r="CU92" i="4" a="1"/>
  <c r="CU92" i="4" s="1"/>
  <c r="CO92" i="4" a="1"/>
  <c r="CO92" i="4" s="1"/>
  <c r="CP92" i="4" a="1"/>
  <c r="CP92" i="4" s="1"/>
  <c r="CQ92" i="4" a="1"/>
  <c r="CQ92" i="4" s="1"/>
  <c r="CL92" i="4" a="1"/>
  <c r="CL92" i="4" s="1"/>
  <c r="CN78" i="4" a="1"/>
  <c r="CN78" i="4" s="1"/>
  <c r="CR78" i="4" a="1"/>
  <c r="CR78" i="4" s="1"/>
  <c r="CL78" i="4" a="1"/>
  <c r="CL78" i="4" s="1"/>
  <c r="CP78" i="4" a="1"/>
  <c r="CP78" i="4" s="1"/>
  <c r="CT78" i="4" a="1"/>
  <c r="CT78" i="4" s="1"/>
  <c r="CM78" i="4" a="1"/>
  <c r="CM78" i="4" s="1"/>
  <c r="CQ78" i="4" a="1"/>
  <c r="CQ78" i="4" s="1"/>
  <c r="CU78" i="4" a="1"/>
  <c r="CU78" i="4" s="1"/>
  <c r="CO78" i="4" a="1"/>
  <c r="CO78" i="4" s="1"/>
  <c r="CS78" i="4" a="1"/>
  <c r="CS78" i="4" s="1"/>
  <c r="CO58" i="4" a="1"/>
  <c r="CO58" i="4" s="1"/>
  <c r="CS58" i="4" a="1"/>
  <c r="CS58" i="4" s="1"/>
  <c r="CM58" i="4" a="1"/>
  <c r="CM58" i="4" s="1"/>
  <c r="CQ58" i="4" a="1"/>
  <c r="CQ58" i="4" s="1"/>
  <c r="CU58" i="4" a="1"/>
  <c r="CU58" i="4" s="1"/>
  <c r="CN58" i="4" a="1"/>
  <c r="CN58" i="4" s="1"/>
  <c r="CR58" i="4" a="1"/>
  <c r="CR58" i="4" s="1"/>
  <c r="CT58" i="4" a="1"/>
  <c r="CT58" i="4" s="1"/>
  <c r="CL58" i="4" a="1"/>
  <c r="CL58" i="4" s="1"/>
  <c r="CP58" i="4" a="1"/>
  <c r="CP58" i="4" s="1"/>
  <c r="CR95" i="4" a="1"/>
  <c r="CR95" i="4" s="1"/>
  <c r="CM95" i="4" a="1"/>
  <c r="CM95" i="4" s="1"/>
  <c r="CS95" i="4" a="1"/>
  <c r="CS95" i="4" s="1"/>
  <c r="CN95" i="4" a="1"/>
  <c r="CN95" i="4" s="1"/>
  <c r="CO95" i="4" a="1"/>
  <c r="CO95" i="4" s="1"/>
  <c r="CT95" i="4" a="1"/>
  <c r="CT95" i="4" s="1"/>
  <c r="CP95" i="4" a="1"/>
  <c r="CP95" i="4" s="1"/>
  <c r="CU95" i="4" a="1"/>
  <c r="CU95" i="4" s="1"/>
  <c r="CL95" i="4" a="1"/>
  <c r="CL95" i="4" s="1"/>
  <c r="CQ95" i="4" a="1"/>
  <c r="CQ95" i="4" s="1"/>
  <c r="CO119" i="4" a="1"/>
  <c r="CO119" i="4" s="1"/>
  <c r="CU119" i="4" a="1"/>
  <c r="CU119" i="4" s="1"/>
  <c r="CN119" i="4" a="1"/>
  <c r="CN119" i="4" s="1"/>
  <c r="CP119" i="4" a="1"/>
  <c r="CP119" i="4" s="1"/>
  <c r="CQ119" i="4" a="1"/>
  <c r="CQ119" i="4" s="1"/>
  <c r="CR119" i="4" a="1"/>
  <c r="CR119" i="4" s="1"/>
  <c r="CL119" i="4" a="1"/>
  <c r="CL119" i="4" s="1"/>
  <c r="CS119" i="4" a="1"/>
  <c r="CS119" i="4" s="1"/>
  <c r="CT119" i="4" a="1"/>
  <c r="CT119" i="4" s="1"/>
  <c r="CM119" i="4" a="1"/>
  <c r="CM119" i="4" s="1"/>
  <c r="CN72" i="4" a="1"/>
  <c r="CN72" i="4" s="1"/>
  <c r="CR72" i="4" a="1"/>
  <c r="CR72" i="4" s="1"/>
  <c r="CL72" i="4" a="1"/>
  <c r="CL72" i="4" s="1"/>
  <c r="CP72" i="4" a="1"/>
  <c r="CP72" i="4" s="1"/>
  <c r="CT72" i="4" a="1"/>
  <c r="CT72" i="4" s="1"/>
  <c r="CM72" i="4" a="1"/>
  <c r="CM72" i="4" s="1"/>
  <c r="CQ72" i="4" a="1"/>
  <c r="CQ72" i="4" s="1"/>
  <c r="CU72" i="4" a="1"/>
  <c r="CU72" i="4" s="1"/>
  <c r="CS72" i="4" a="1"/>
  <c r="CS72" i="4" s="1"/>
  <c r="CO72" i="4" a="1"/>
  <c r="CO72" i="4" s="1"/>
  <c r="CN41" i="4" a="1"/>
  <c r="CN41" i="4" s="1"/>
  <c r="CP41" i="4" a="1"/>
  <c r="CP41" i="4" s="1"/>
  <c r="CQ41" i="4" a="1"/>
  <c r="CQ41" i="4" s="1"/>
  <c r="CL41" i="4" a="1"/>
  <c r="CL41" i="4" s="1"/>
  <c r="CM41" i="4" a="1"/>
  <c r="CM41" i="4" s="1"/>
  <c r="CR41" i="4" a="1"/>
  <c r="CR41" i="4" s="1"/>
  <c r="CS41" i="4" a="1"/>
  <c r="CS41" i="4" s="1"/>
  <c r="CT41" i="4" a="1"/>
  <c r="CT41" i="4" s="1"/>
  <c r="CU41" i="4" a="1"/>
  <c r="CU41" i="4" s="1"/>
  <c r="CO41" i="4" a="1"/>
  <c r="CO41" i="4" s="1"/>
  <c r="CU43" i="4" a="1"/>
  <c r="CU43" i="4" s="1"/>
  <c r="CL43" i="4" a="1"/>
  <c r="CL43" i="4" s="1"/>
  <c r="CM43" i="4" a="1"/>
  <c r="CM43" i="4" s="1"/>
  <c r="CR43" i="4" a="1"/>
  <c r="CR43" i="4" s="1"/>
  <c r="CS43" i="4" a="1"/>
  <c r="CS43" i="4" s="1"/>
  <c r="CN43" i="4" a="1"/>
  <c r="CN43" i="4" s="1"/>
  <c r="CO43" i="4" a="1"/>
  <c r="CO43" i="4" s="1"/>
  <c r="CP43" i="4" a="1"/>
  <c r="CP43" i="4" s="1"/>
  <c r="CQ43" i="4" a="1"/>
  <c r="CQ43" i="4" s="1"/>
  <c r="CT43" i="4" a="1"/>
  <c r="CT43" i="4" s="1"/>
  <c r="CL73" i="4" a="1"/>
  <c r="CL73" i="4" s="1"/>
  <c r="CP73" i="4" a="1"/>
  <c r="CP73" i="4" s="1"/>
  <c r="CT73" i="4" a="1"/>
  <c r="CT73" i="4" s="1"/>
  <c r="CN73" i="4" a="1"/>
  <c r="CN73" i="4" s="1"/>
  <c r="CR73" i="4" a="1"/>
  <c r="CR73" i="4" s="1"/>
  <c r="CO73" i="4" a="1"/>
  <c r="CO73" i="4" s="1"/>
  <c r="CS73" i="4" a="1"/>
  <c r="CS73" i="4" s="1"/>
  <c r="CQ73" i="4" a="1"/>
  <c r="CQ73" i="4" s="1"/>
  <c r="CU73" i="4" a="1"/>
  <c r="CU73" i="4" s="1"/>
  <c r="CM73" i="4" a="1"/>
  <c r="CM73" i="4" s="1"/>
  <c r="CO105" i="4" a="1"/>
  <c r="CO105" i="4" s="1"/>
  <c r="CS105" i="4" a="1"/>
  <c r="CS105" i="4" s="1"/>
  <c r="CL105" i="4" a="1"/>
  <c r="CL105" i="4" s="1"/>
  <c r="CP105" i="4" a="1"/>
  <c r="CP105" i="4" s="1"/>
  <c r="CT105" i="4" a="1"/>
  <c r="CT105" i="4" s="1"/>
  <c r="CM105" i="4" a="1"/>
  <c r="CM105" i="4" s="1"/>
  <c r="CQ105" i="4" a="1"/>
  <c r="CQ105" i="4" s="1"/>
  <c r="CU105" i="4" a="1"/>
  <c r="CU105" i="4" s="1"/>
  <c r="CN105" i="4" a="1"/>
  <c r="CN105" i="4" s="1"/>
  <c r="CR105" i="4" a="1"/>
  <c r="CR105" i="4" s="1"/>
  <c r="CM65" i="4" a="1"/>
  <c r="CM65" i="4" s="1"/>
  <c r="CQ65" i="4" a="1"/>
  <c r="CQ65" i="4" s="1"/>
  <c r="CU65" i="4" a="1"/>
  <c r="CU65" i="4" s="1"/>
  <c r="CL65" i="4" a="1"/>
  <c r="CL65" i="4" s="1"/>
  <c r="CR65" i="4" a="1"/>
  <c r="CR65" i="4" s="1"/>
  <c r="CN65" i="4" a="1"/>
  <c r="CN65" i="4" s="1"/>
  <c r="CO65" i="4" a="1"/>
  <c r="CO65" i="4" s="1"/>
  <c r="CP65" i="4" a="1"/>
  <c r="CP65" i="4" s="1"/>
  <c r="CT65" i="4" a="1"/>
  <c r="CT65" i="4" s="1"/>
  <c r="CS65" i="4" a="1"/>
  <c r="CS65" i="4" s="1"/>
  <c r="CO42" i="4" a="1"/>
  <c r="CO42" i="4" s="1"/>
  <c r="CT42" i="4" a="1"/>
  <c r="CT42" i="4" s="1"/>
  <c r="CQ42" i="4" a="1"/>
  <c r="CQ42" i="4" s="1"/>
  <c r="CL42" i="4" a="1"/>
  <c r="CL42" i="4" s="1"/>
  <c r="CM42" i="4" a="1"/>
  <c r="CM42" i="4" s="1"/>
  <c r="CR42" i="4" a="1"/>
  <c r="CR42" i="4" s="1"/>
  <c r="CS42" i="4" a="1"/>
  <c r="CS42" i="4" s="1"/>
  <c r="CP42" i="4" a="1"/>
  <c r="CP42" i="4" s="1"/>
  <c r="CN42" i="4" a="1"/>
  <c r="CN42" i="4" s="1"/>
  <c r="CU42" i="4" a="1"/>
  <c r="CU42" i="4" s="1"/>
  <c r="CN114" i="4" a="1"/>
  <c r="CN114" i="4" s="1"/>
  <c r="CR114" i="4" a="1"/>
  <c r="CR114" i="4" s="1"/>
  <c r="CO114" i="4" a="1"/>
  <c r="CO114" i="4" s="1"/>
  <c r="CS114" i="4" a="1"/>
  <c r="CS114" i="4" s="1"/>
  <c r="CL114" i="4" a="1"/>
  <c r="CL114" i="4" s="1"/>
  <c r="CM114" i="4" a="1"/>
  <c r="CM114" i="4" s="1"/>
  <c r="CP114" i="4" a="1"/>
  <c r="CP114" i="4" s="1"/>
  <c r="CQ114" i="4" a="1"/>
  <c r="CQ114" i="4" s="1"/>
  <c r="CT114" i="4" a="1"/>
  <c r="CT114" i="4" s="1"/>
  <c r="CU114" i="4" a="1"/>
  <c r="CU114" i="4" s="1"/>
  <c r="CP47" i="4" a="1"/>
  <c r="CP47" i="4" s="1"/>
  <c r="CM47" i="4" a="1"/>
  <c r="CM47" i="4" s="1"/>
  <c r="CR47" i="4" a="1"/>
  <c r="CR47" i="4" s="1"/>
  <c r="CN47" i="4" a="1"/>
  <c r="CN47" i="4" s="1"/>
  <c r="CS47" i="4" a="1"/>
  <c r="CS47" i="4" s="1"/>
  <c r="CO47" i="4" a="1"/>
  <c r="CO47" i="4" s="1"/>
  <c r="CU47" i="4" a="1"/>
  <c r="CU47" i="4" s="1"/>
  <c r="CQ47" i="4" a="1"/>
  <c r="CQ47" i="4" s="1"/>
  <c r="CL47" i="4" a="1"/>
  <c r="CL47" i="4" s="1"/>
  <c r="CT47" i="4" a="1"/>
  <c r="CT47" i="4" s="1"/>
  <c r="CR103" i="4" a="1"/>
  <c r="CR103" i="4" s="1"/>
  <c r="CM103" i="4" a="1"/>
  <c r="CM103" i="4" s="1"/>
  <c r="CS103" i="4" a="1"/>
  <c r="CS103" i="4" s="1"/>
  <c r="CN103" i="4" a="1"/>
  <c r="CN103" i="4" s="1"/>
  <c r="CO103" i="4" a="1"/>
  <c r="CO103" i="4" s="1"/>
  <c r="CT103" i="4" a="1"/>
  <c r="CT103" i="4" s="1"/>
  <c r="CP103" i="4" a="1"/>
  <c r="CP103" i="4" s="1"/>
  <c r="CU103" i="4" a="1"/>
  <c r="CU103" i="4" s="1"/>
  <c r="CQ103" i="4" a="1"/>
  <c r="CQ103" i="4" s="1"/>
  <c r="CL103" i="4" a="1"/>
  <c r="CL103" i="4" s="1"/>
  <c r="CN96" i="4" a="1"/>
  <c r="CN96" i="4" s="1"/>
  <c r="CS96" i="4" a="1"/>
  <c r="CS96" i="4" s="1"/>
  <c r="CT96" i="4" a="1"/>
  <c r="CT96" i="4" s="1"/>
  <c r="CO96" i="4" a="1"/>
  <c r="CO96" i="4" s="1"/>
  <c r="CU96" i="4" a="1"/>
  <c r="CU96" i="4" s="1"/>
  <c r="CP96" i="4" a="1"/>
  <c r="CP96" i="4" s="1"/>
  <c r="CQ96" i="4" a="1"/>
  <c r="CQ96" i="4" s="1"/>
  <c r="CL96" i="4" a="1"/>
  <c r="CL96" i="4" s="1"/>
  <c r="CM96" i="4" a="1"/>
  <c r="CM96" i="4" s="1"/>
  <c r="CR96" i="4" a="1"/>
  <c r="CR96" i="4" s="1"/>
  <c r="CL85" i="4" a="1"/>
  <c r="CL85" i="4" s="1"/>
  <c r="CP85" i="4" a="1"/>
  <c r="CP85" i="4" s="1"/>
  <c r="CT85" i="4" a="1"/>
  <c r="CT85" i="4" s="1"/>
  <c r="CN85" i="4" a="1"/>
  <c r="CN85" i="4" s="1"/>
  <c r="CR85" i="4" a="1"/>
  <c r="CR85" i="4" s="1"/>
  <c r="CO85" i="4" a="1"/>
  <c r="CO85" i="4" s="1"/>
  <c r="CS85" i="4" a="1"/>
  <c r="CS85" i="4" s="1"/>
  <c r="CQ85" i="4" a="1"/>
  <c r="CQ85" i="4" s="1"/>
  <c r="CU85" i="4" a="1"/>
  <c r="CU85" i="4" s="1"/>
  <c r="CM85" i="4" a="1"/>
  <c r="CM85" i="4" s="1"/>
  <c r="CN97" i="4" a="1"/>
  <c r="CN97" i="4" s="1"/>
  <c r="CO97" i="4" a="1"/>
  <c r="CO97" i="4" s="1"/>
  <c r="CT97" i="4" a="1"/>
  <c r="CT97" i="4" s="1"/>
  <c r="CP97" i="4" a="1"/>
  <c r="CP97" i="4" s="1"/>
  <c r="CU97" i="4" a="1"/>
  <c r="CU97" i="4" s="1"/>
  <c r="CL97" i="4" a="1"/>
  <c r="CL97" i="4" s="1"/>
  <c r="CQ97" i="4" a="1"/>
  <c r="CQ97" i="4" s="1"/>
  <c r="CR97" i="4" a="1"/>
  <c r="CR97" i="4" s="1"/>
  <c r="CM97" i="4" a="1"/>
  <c r="CM97" i="4" s="1"/>
  <c r="CS97" i="4" a="1"/>
  <c r="CS97" i="4" s="1"/>
  <c r="CL46" i="4" a="1"/>
  <c r="CL46" i="4" s="1"/>
  <c r="CQ46" i="4" a="1"/>
  <c r="CQ46" i="4" s="1"/>
  <c r="CN46" i="4" a="1"/>
  <c r="CN46" i="4" s="1"/>
  <c r="CS46" i="4" a="1"/>
  <c r="CS46" i="4" s="1"/>
  <c r="CO46" i="4" a="1"/>
  <c r="CO46" i="4" s="1"/>
  <c r="CT46" i="4" a="1"/>
  <c r="CT46" i="4" s="1"/>
  <c r="CR46" i="4" a="1"/>
  <c r="CR46" i="4" s="1"/>
  <c r="CM46" i="4" a="1"/>
  <c r="CM46" i="4" s="1"/>
  <c r="CP46" i="4" a="1"/>
  <c r="CP46" i="4" s="1"/>
  <c r="CU46" i="4" a="1"/>
  <c r="CU46" i="4" s="1"/>
  <c r="CO107" i="4" a="1"/>
  <c r="CO107" i="4" s="1"/>
  <c r="CS107" i="4" a="1"/>
  <c r="CS107" i="4" s="1"/>
  <c r="CL107" i="4" a="1"/>
  <c r="CL107" i="4" s="1"/>
  <c r="CP107" i="4" a="1"/>
  <c r="CP107" i="4" s="1"/>
  <c r="CT107" i="4" a="1"/>
  <c r="CT107" i="4" s="1"/>
  <c r="CM107" i="4" a="1"/>
  <c r="CM107" i="4" s="1"/>
  <c r="CQ107" i="4" a="1"/>
  <c r="CQ107" i="4" s="1"/>
  <c r="CU107" i="4" a="1"/>
  <c r="CU107" i="4" s="1"/>
  <c r="CN107" i="4" a="1"/>
  <c r="CN107" i="4" s="1"/>
  <c r="CR107" i="4" a="1"/>
  <c r="CR107" i="4" s="1"/>
  <c r="CQ45" i="4" a="1"/>
  <c r="CQ45" i="4" s="1"/>
  <c r="CS45" i="4" a="1"/>
  <c r="CS45" i="4" s="1"/>
  <c r="CN45" i="4" a="1"/>
  <c r="CN45" i="4" s="1"/>
  <c r="CO45" i="4" a="1"/>
  <c r="CO45" i="4" s="1"/>
  <c r="CT45" i="4" a="1"/>
  <c r="CT45" i="4" s="1"/>
  <c r="CU45" i="4" a="1"/>
  <c r="CU45" i="4" s="1"/>
  <c r="CP45" i="4" a="1"/>
  <c r="CP45" i="4" s="1"/>
  <c r="CL45" i="4" a="1"/>
  <c r="CL45" i="4" s="1"/>
  <c r="CM45" i="4" a="1"/>
  <c r="CM45" i="4" s="1"/>
  <c r="CR45" i="4" a="1"/>
  <c r="CR45" i="4" s="1"/>
  <c r="CL77" i="4" a="1"/>
  <c r="CL77" i="4" s="1"/>
  <c r="CP77" i="4" a="1"/>
  <c r="CP77" i="4" s="1"/>
  <c r="CT77" i="4" a="1"/>
  <c r="CT77" i="4" s="1"/>
  <c r="CN77" i="4" a="1"/>
  <c r="CN77" i="4" s="1"/>
  <c r="CR77" i="4" a="1"/>
  <c r="CR77" i="4" s="1"/>
  <c r="CO77" i="4" a="1"/>
  <c r="CO77" i="4" s="1"/>
  <c r="CS77" i="4" a="1"/>
  <c r="CS77" i="4" s="1"/>
  <c r="CU77" i="4" a="1"/>
  <c r="CU77" i="4" s="1"/>
  <c r="CM77" i="4" a="1"/>
  <c r="CM77" i="4" s="1"/>
  <c r="CQ77" i="4" a="1"/>
  <c r="CQ77" i="4" s="1"/>
  <c r="CO56" i="4" a="1"/>
  <c r="CO56" i="4" s="1"/>
  <c r="CS56" i="4" a="1"/>
  <c r="CS56" i="4" s="1"/>
  <c r="CM56" i="4" a="1"/>
  <c r="CM56" i="4" s="1"/>
  <c r="CQ56" i="4" a="1"/>
  <c r="CQ56" i="4" s="1"/>
  <c r="CU56" i="4" a="1"/>
  <c r="CU56" i="4" s="1"/>
  <c r="CN56" i="4" a="1"/>
  <c r="CN56" i="4" s="1"/>
  <c r="CR56" i="4" a="1"/>
  <c r="CR56" i="4" s="1"/>
  <c r="CT56" i="4" a="1"/>
  <c r="CT56" i="4" s="1"/>
  <c r="CL56" i="4" a="1"/>
  <c r="CL56" i="4" s="1"/>
  <c r="CP56" i="4" a="1"/>
  <c r="CP56" i="4" s="1"/>
  <c r="CN90" i="4" a="1"/>
  <c r="CN90" i="4" s="1"/>
  <c r="CR90" i="4" a="1"/>
  <c r="CR90" i="4" s="1"/>
  <c r="CT90" i="4" a="1"/>
  <c r="CT90" i="4" s="1"/>
  <c r="CU90" i="4" a="1"/>
  <c r="CU90" i="4" s="1"/>
  <c r="CO90" i="4" a="1"/>
  <c r="CO90" i="4" s="1"/>
  <c r="CP90" i="4" a="1"/>
  <c r="CP90" i="4" s="1"/>
  <c r="CQ90" i="4" a="1"/>
  <c r="CQ90" i="4" s="1"/>
  <c r="CL90" i="4" a="1"/>
  <c r="CL90" i="4" s="1"/>
  <c r="CM90" i="4" a="1"/>
  <c r="CM90" i="4" s="1"/>
  <c r="CS90" i="4" a="1"/>
  <c r="CS90" i="4" s="1"/>
  <c r="CL83" i="4" a="1"/>
  <c r="CL83" i="4" s="1"/>
  <c r="CP83" i="4" a="1"/>
  <c r="CP83" i="4" s="1"/>
  <c r="CT83" i="4" a="1"/>
  <c r="CT83" i="4" s="1"/>
  <c r="CN83" i="4" a="1"/>
  <c r="CN83" i="4" s="1"/>
  <c r="CR83" i="4" a="1"/>
  <c r="CR83" i="4" s="1"/>
  <c r="CO83" i="4" a="1"/>
  <c r="CO83" i="4" s="1"/>
  <c r="CS83" i="4" a="1"/>
  <c r="CS83" i="4" s="1"/>
  <c r="CM83" i="4" a="1"/>
  <c r="CM83" i="4" s="1"/>
  <c r="CQ83" i="4" a="1"/>
  <c r="CQ83" i="4" s="1"/>
  <c r="CU83" i="4" a="1"/>
  <c r="CU83" i="4" s="1"/>
  <c r="CL111" i="4" a="1"/>
  <c r="CL111" i="4" s="1"/>
  <c r="CP111" i="4" a="1"/>
  <c r="CP111" i="4" s="1"/>
  <c r="CT111" i="4" a="1"/>
  <c r="CT111" i="4" s="1"/>
  <c r="CM111" i="4" a="1"/>
  <c r="CM111" i="4" s="1"/>
  <c r="CQ111" i="4" a="1"/>
  <c r="CQ111" i="4" s="1"/>
  <c r="CU111" i="4" a="1"/>
  <c r="CU111" i="4" s="1"/>
  <c r="CN111" i="4" a="1"/>
  <c r="CN111" i="4" s="1"/>
  <c r="CO111" i="4" a="1"/>
  <c r="CO111" i="4" s="1"/>
  <c r="CR111" i="4" a="1"/>
  <c r="CR111" i="4" s="1"/>
  <c r="CS111" i="4" a="1"/>
  <c r="CS111" i="4" s="1"/>
  <c r="CO60" i="4" a="1"/>
  <c r="CO60" i="4" s="1"/>
  <c r="CS60" i="4" a="1"/>
  <c r="CS60" i="4" s="1"/>
  <c r="CM60" i="4" a="1"/>
  <c r="CM60" i="4" s="1"/>
  <c r="CQ60" i="4" a="1"/>
  <c r="CQ60" i="4" s="1"/>
  <c r="CU60" i="4" a="1"/>
  <c r="CU60" i="4" s="1"/>
  <c r="CN60" i="4" a="1"/>
  <c r="CN60" i="4" s="1"/>
  <c r="CR60" i="4" a="1"/>
  <c r="CR60" i="4" s="1"/>
  <c r="CP60" i="4" a="1"/>
  <c r="CP60" i="4" s="1"/>
  <c r="CT60" i="4" a="1"/>
  <c r="CT60" i="4" s="1"/>
  <c r="CL60" i="4" a="1"/>
  <c r="CL60" i="4" s="1"/>
  <c r="CN80" i="4" a="1"/>
  <c r="CN80" i="4" s="1"/>
  <c r="CR80" i="4" a="1"/>
  <c r="CR80" i="4" s="1"/>
  <c r="CL80" i="4" a="1"/>
  <c r="CL80" i="4" s="1"/>
  <c r="CP80" i="4" a="1"/>
  <c r="CP80" i="4" s="1"/>
  <c r="CT80" i="4" a="1"/>
  <c r="CT80" i="4" s="1"/>
  <c r="CM80" i="4" a="1"/>
  <c r="CM80" i="4" s="1"/>
  <c r="CQ80" i="4" a="1"/>
  <c r="CQ80" i="4" s="1"/>
  <c r="CU80" i="4" a="1"/>
  <c r="CU80" i="4" s="1"/>
  <c r="CO80" i="4" a="1"/>
  <c r="CO80" i="4" s="1"/>
  <c r="CS80" i="4" a="1"/>
  <c r="CS80" i="4" s="1"/>
  <c r="CQ51" i="4" a="1"/>
  <c r="CQ51" i="4" s="1"/>
  <c r="CN51" i="4" a="1"/>
  <c r="CN51" i="4" s="1"/>
  <c r="CS51" i="4" a="1"/>
  <c r="CS51" i="4" s="1"/>
  <c r="CO51" i="4" a="1"/>
  <c r="CO51" i="4" s="1"/>
  <c r="CT51" i="4" a="1"/>
  <c r="CT51" i="4" s="1"/>
  <c r="CP51" i="4" a="1"/>
  <c r="CP51" i="4" s="1"/>
  <c r="CL51" i="4" a="1"/>
  <c r="CL51" i="4" s="1"/>
  <c r="CM51" i="4" a="1"/>
  <c r="CM51" i="4" s="1"/>
  <c r="CR51" i="4" a="1"/>
  <c r="CR51" i="4" s="1"/>
  <c r="CU51" i="4" a="1"/>
  <c r="CU51" i="4" s="1"/>
  <c r="CL75" i="4" a="1"/>
  <c r="CL75" i="4" s="1"/>
  <c r="CP75" i="4" a="1"/>
  <c r="CP75" i="4" s="1"/>
  <c r="CT75" i="4" a="1"/>
  <c r="CT75" i="4" s="1"/>
  <c r="CN75" i="4" a="1"/>
  <c r="CN75" i="4" s="1"/>
  <c r="CR75" i="4" a="1"/>
  <c r="CR75" i="4" s="1"/>
  <c r="CO75" i="4" a="1"/>
  <c r="CO75" i="4" s="1"/>
  <c r="CS75" i="4" a="1"/>
  <c r="CS75" i="4" s="1"/>
  <c r="CU75" i="4" a="1"/>
  <c r="CU75" i="4" s="1"/>
  <c r="CM75" i="4" a="1"/>
  <c r="CM75" i="4" s="1"/>
  <c r="CQ75" i="4" a="1"/>
  <c r="CQ75" i="4" s="1"/>
  <c r="CL117" i="4" a="1"/>
  <c r="CL117" i="4" s="1"/>
  <c r="CM117" i="4" a="1"/>
  <c r="CM117" i="4" s="1"/>
  <c r="CP117" i="4" a="1"/>
  <c r="CP117" i="4" s="1"/>
  <c r="CQ117" i="4" a="1"/>
  <c r="CQ117" i="4" s="1"/>
  <c r="CR117" i="4" a="1"/>
  <c r="CR117" i="4" s="1"/>
  <c r="CS117" i="4" a="1"/>
  <c r="CS117" i="4" s="1"/>
  <c r="CO117" i="4" a="1"/>
  <c r="CO117" i="4" s="1"/>
  <c r="CN117" i="4" a="1"/>
  <c r="CN117" i="4" s="1"/>
  <c r="CT117" i="4" a="1"/>
  <c r="CT117" i="4" s="1"/>
  <c r="CU117" i="4" a="1"/>
  <c r="CU117" i="4" s="1"/>
  <c r="CN76" i="4" a="1"/>
  <c r="CN76" i="4" s="1"/>
  <c r="CR76" i="4" a="1"/>
  <c r="CR76" i="4" s="1"/>
  <c r="CL76" i="4" a="1"/>
  <c r="CL76" i="4" s="1"/>
  <c r="CP76" i="4" a="1"/>
  <c r="CP76" i="4" s="1"/>
  <c r="CT76" i="4" a="1"/>
  <c r="CT76" i="4" s="1"/>
  <c r="CM76" i="4" a="1"/>
  <c r="CM76" i="4" s="1"/>
  <c r="CQ76" i="4" a="1"/>
  <c r="CQ76" i="4" s="1"/>
  <c r="CU76" i="4" a="1"/>
  <c r="CU76" i="4" s="1"/>
  <c r="CS76" i="4" a="1"/>
  <c r="CS76" i="4" s="1"/>
  <c r="CO76" i="4" a="1"/>
  <c r="CO76" i="4" s="1"/>
  <c r="CL79" i="4" a="1"/>
  <c r="CL79" i="4" s="1"/>
  <c r="CP79" i="4" a="1"/>
  <c r="CP79" i="4" s="1"/>
  <c r="CT79" i="4" a="1"/>
  <c r="CT79" i="4" s="1"/>
  <c r="CN79" i="4" a="1"/>
  <c r="CN79" i="4" s="1"/>
  <c r="CR79" i="4" a="1"/>
  <c r="CR79" i="4" s="1"/>
  <c r="CO79" i="4" a="1"/>
  <c r="CO79" i="4" s="1"/>
  <c r="CS79" i="4" a="1"/>
  <c r="CS79" i="4" s="1"/>
  <c r="CU79" i="4" a="1"/>
  <c r="CU79" i="4" s="1"/>
  <c r="CM79" i="4" a="1"/>
  <c r="CM79" i="4" s="1"/>
  <c r="CQ79" i="4" a="1"/>
  <c r="CQ79" i="4" s="1"/>
  <c r="CL120" i="4" a="1"/>
  <c r="CL120" i="4" s="1"/>
  <c r="CR120" i="4" a="1"/>
  <c r="CR120" i="4" s="1"/>
  <c r="CM120" i="4" a="1"/>
  <c r="CM120" i="4" s="1"/>
  <c r="CS120" i="4" a="1"/>
  <c r="CS120" i="4" s="1"/>
  <c r="CT120" i="4" a="1"/>
  <c r="CT120" i="4" s="1"/>
  <c r="CN120" i="4" a="1"/>
  <c r="CN120" i="4" s="1"/>
  <c r="CU120" i="4" a="1"/>
  <c r="CU120" i="4" s="1"/>
  <c r="CO120" i="4" a="1"/>
  <c r="CO120" i="4" s="1"/>
  <c r="CP120" i="4" a="1"/>
  <c r="CP120" i="4" s="1"/>
  <c r="CQ120" i="4" a="1"/>
  <c r="CQ120" i="4" s="1"/>
  <c r="CN49" i="4" a="1"/>
  <c r="CN49" i="4" s="1"/>
  <c r="CS49" i="4" a="1"/>
  <c r="CS49" i="4" s="1"/>
  <c r="CP49" i="4" a="1"/>
  <c r="CP49" i="4" s="1"/>
  <c r="CL49" i="4" a="1"/>
  <c r="CL49" i="4" s="1"/>
  <c r="CU49" i="4" a="1"/>
  <c r="CU49" i="4" s="1"/>
  <c r="CQ49" i="4" a="1"/>
  <c r="CQ49" i="4" s="1"/>
  <c r="CM49" i="4" a="1"/>
  <c r="CM49" i="4" s="1"/>
  <c r="CR49" i="4" a="1"/>
  <c r="CR49" i="4" s="1"/>
  <c r="CT49" i="4" a="1"/>
  <c r="CT49" i="4" s="1"/>
  <c r="CO49" i="4" a="1"/>
  <c r="CO49" i="4" s="1"/>
  <c r="CM59" i="4" a="1"/>
  <c r="CM59" i="4" s="1"/>
  <c r="CQ59" i="4" a="1"/>
  <c r="CQ59" i="4" s="1"/>
  <c r="CU59" i="4" a="1"/>
  <c r="CU59" i="4" s="1"/>
  <c r="CO59" i="4" a="1"/>
  <c r="CO59" i="4" s="1"/>
  <c r="CS59" i="4" a="1"/>
  <c r="CS59" i="4" s="1"/>
  <c r="CL59" i="4" a="1"/>
  <c r="CL59" i="4" s="1"/>
  <c r="CP59" i="4" a="1"/>
  <c r="CP59" i="4" s="1"/>
  <c r="CT59" i="4" a="1"/>
  <c r="CT59" i="4" s="1"/>
  <c r="CN59" i="4" a="1"/>
  <c r="CN59" i="4" s="1"/>
  <c r="CR59" i="4" a="1"/>
  <c r="CR59" i="4" s="1"/>
  <c r="CL109" i="4" a="1"/>
  <c r="CL109" i="4" s="1"/>
  <c r="CP109" i="4" a="1"/>
  <c r="CP109" i="4" s="1"/>
  <c r="CT109" i="4" a="1"/>
  <c r="CT109" i="4" s="1"/>
  <c r="CM109" i="4" a="1"/>
  <c r="CM109" i="4" s="1"/>
  <c r="CQ109" i="4" a="1"/>
  <c r="CQ109" i="4" s="1"/>
  <c r="CU109" i="4" a="1"/>
  <c r="CU109" i="4" s="1"/>
  <c r="CN109" i="4" a="1"/>
  <c r="CN109" i="4" s="1"/>
  <c r="CO109" i="4" a="1"/>
  <c r="CO109" i="4" s="1"/>
  <c r="CR109" i="4" a="1"/>
  <c r="CR109" i="4" s="1"/>
  <c r="CS109" i="4" a="1"/>
  <c r="CS109" i="4" s="1"/>
  <c r="CN110" i="4" a="1"/>
  <c r="CN110" i="4" s="1"/>
  <c r="CR110" i="4" a="1"/>
  <c r="CR110" i="4" s="1"/>
  <c r="CO110" i="4" a="1"/>
  <c r="CO110" i="4" s="1"/>
  <c r="CS110" i="4" a="1"/>
  <c r="CS110" i="4" s="1"/>
  <c r="CT110" i="4" a="1"/>
  <c r="CT110" i="4" s="1"/>
  <c r="CQ110" i="4" a="1"/>
  <c r="CQ110" i="4" s="1"/>
  <c r="CU110" i="4" a="1"/>
  <c r="CU110" i="4" s="1"/>
  <c r="CL110" i="4" a="1"/>
  <c r="CL110" i="4" s="1"/>
  <c r="CM110" i="4" a="1"/>
  <c r="CM110" i="4" s="1"/>
  <c r="CP110" i="4" a="1"/>
  <c r="CP110" i="4" s="1"/>
  <c r="CL118" i="4" a="1"/>
  <c r="CL118" i="4" s="1"/>
  <c r="CR118" i="4" a="1"/>
  <c r="CR118" i="4" s="1"/>
  <c r="CM118" i="4" a="1"/>
  <c r="CM118" i="4" s="1"/>
  <c r="CS118" i="4" a="1"/>
  <c r="CS118" i="4" s="1"/>
  <c r="CT118" i="4" a="1"/>
  <c r="CT118" i="4" s="1"/>
  <c r="CN118" i="4" a="1"/>
  <c r="CN118" i="4" s="1"/>
  <c r="CU118" i="4" a="1"/>
  <c r="CU118" i="4" s="1"/>
  <c r="CO118" i="4" a="1"/>
  <c r="CO118" i="4" s="1"/>
  <c r="CP118" i="4" a="1"/>
  <c r="CP118" i="4" s="1"/>
  <c r="CQ118" i="4" a="1"/>
  <c r="CQ118" i="4" s="1"/>
  <c r="CL94" i="4" a="1"/>
  <c r="CL94" i="4" s="1"/>
  <c r="CM94" i="4" a="1"/>
  <c r="CM94" i="4" s="1"/>
  <c r="CR94" i="4" a="1"/>
  <c r="CR94" i="4" s="1"/>
  <c r="CN94" i="4" a="1"/>
  <c r="CN94" i="4" s="1"/>
  <c r="CS94" i="4" a="1"/>
  <c r="CS94" i="4" s="1"/>
  <c r="CT94" i="4" a="1"/>
  <c r="CT94" i="4" s="1"/>
  <c r="CO94" i="4" a="1"/>
  <c r="CO94" i="4" s="1"/>
  <c r="CU94" i="4" a="1"/>
  <c r="CU94" i="4" s="1"/>
  <c r="CP94" i="4" a="1"/>
  <c r="CP94" i="4" s="1"/>
  <c r="CQ94" i="4" a="1"/>
  <c r="CQ94" i="4" s="1"/>
  <c r="CT53" i="4" a="1"/>
  <c r="CT53" i="4" s="1"/>
  <c r="CQ53" i="4" a="1"/>
  <c r="CQ53" i="4" s="1"/>
  <c r="CM53" i="4" a="1"/>
  <c r="CM53" i="4" s="1"/>
  <c r="CR53" i="4" a="1"/>
  <c r="CR53" i="4" s="1"/>
  <c r="CN53" i="4" a="1"/>
  <c r="CN53" i="4" s="1"/>
  <c r="CS53" i="4" a="1"/>
  <c r="CS53" i="4" s="1"/>
  <c r="CU53" i="4" a="1"/>
  <c r="CU53" i="4" s="1"/>
  <c r="CO53" i="4" a="1"/>
  <c r="CO53" i="4" s="1"/>
  <c r="CP53" i="4" a="1"/>
  <c r="CP53" i="4" s="1"/>
  <c r="CL53" i="4" a="1"/>
  <c r="CL53" i="4" s="1"/>
  <c r="CN82" i="4" a="1"/>
  <c r="CN82" i="4" s="1"/>
  <c r="CR82" i="4" a="1"/>
  <c r="CR82" i="4" s="1"/>
  <c r="CL82" i="4" a="1"/>
  <c r="CL82" i="4" s="1"/>
  <c r="CP82" i="4" a="1"/>
  <c r="CP82" i="4" s="1"/>
  <c r="CT82" i="4" a="1"/>
  <c r="CT82" i="4" s="1"/>
  <c r="CM82" i="4" a="1"/>
  <c r="CM82" i="4" s="1"/>
  <c r="CQ82" i="4" a="1"/>
  <c r="CQ82" i="4" s="1"/>
  <c r="CU82" i="4" a="1"/>
  <c r="CU82" i="4" s="1"/>
  <c r="CO82" i="4" a="1"/>
  <c r="CO82" i="4" s="1"/>
  <c r="CS82" i="4" a="1"/>
  <c r="CS82" i="4" s="1"/>
  <c r="CM69" i="4" a="1"/>
  <c r="CM69" i="4" s="1"/>
  <c r="CR69" i="4" a="1"/>
  <c r="CR69" i="4" s="1"/>
  <c r="CO69" i="4" a="1"/>
  <c r="CO69" i="4" s="1"/>
  <c r="CP69" i="4" a="1"/>
  <c r="CP69" i="4" s="1"/>
  <c r="CU69" i="4" a="1"/>
  <c r="CU69" i="4" s="1"/>
  <c r="CL69" i="4" a="1"/>
  <c r="CL69" i="4" s="1"/>
  <c r="CQ69" i="4" a="1"/>
  <c r="CQ69" i="4" s="1"/>
  <c r="CN69" i="4" a="1"/>
  <c r="CN69" i="4" s="1"/>
  <c r="CS69" i="4" a="1"/>
  <c r="CS69" i="4" s="1"/>
  <c r="CT69" i="4" a="1"/>
  <c r="CT69" i="4" s="1"/>
  <c r="CL71" i="4" a="1"/>
  <c r="CL71" i="4" s="1"/>
  <c r="CP71" i="4" a="1"/>
  <c r="CP71" i="4" s="1"/>
  <c r="CT71" i="4" a="1"/>
  <c r="CT71" i="4" s="1"/>
  <c r="CN71" i="4" a="1"/>
  <c r="CN71" i="4" s="1"/>
  <c r="CR71" i="4" a="1"/>
  <c r="CR71" i="4" s="1"/>
  <c r="CO71" i="4" a="1"/>
  <c r="CO71" i="4" s="1"/>
  <c r="CS71" i="4" a="1"/>
  <c r="CS71" i="4" s="1"/>
  <c r="CQ71" i="4" a="1"/>
  <c r="CQ71" i="4" s="1"/>
  <c r="CU71" i="4" a="1"/>
  <c r="CU71" i="4" s="1"/>
  <c r="CM71" i="4" a="1"/>
  <c r="CM71" i="4" s="1"/>
  <c r="CL89" i="4" a="1"/>
  <c r="CL89" i="4" s="1"/>
  <c r="CP89" i="4" a="1"/>
  <c r="CP89" i="4" s="1"/>
  <c r="CT89" i="4" a="1"/>
  <c r="CT89" i="4" s="1"/>
  <c r="CN89" i="4" a="1"/>
  <c r="CN89" i="4" s="1"/>
  <c r="CO89" i="4" a="1"/>
  <c r="CO89" i="4" s="1"/>
  <c r="CQ89" i="4" a="1"/>
  <c r="CQ89" i="4" s="1"/>
  <c r="CR89" i="4" a="1"/>
  <c r="CR89" i="4" s="1"/>
  <c r="CS89" i="4" a="1"/>
  <c r="CS89" i="4" s="1"/>
  <c r="CM89" i="4" a="1"/>
  <c r="CM89" i="4" s="1"/>
  <c r="CU89" i="4" a="1"/>
  <c r="CU89" i="4" s="1"/>
  <c r="CL87" i="4" a="1"/>
  <c r="CL87" i="4" s="1"/>
  <c r="CP87" i="4" a="1"/>
  <c r="CP87" i="4" s="1"/>
  <c r="CT87" i="4" a="1"/>
  <c r="CT87" i="4" s="1"/>
  <c r="CN87" i="4" a="1"/>
  <c r="CN87" i="4" s="1"/>
  <c r="CR87" i="4" a="1"/>
  <c r="CR87" i="4" s="1"/>
  <c r="CO87" i="4" a="1"/>
  <c r="CO87" i="4" s="1"/>
  <c r="CS87" i="4" a="1"/>
  <c r="CS87" i="4" s="1"/>
  <c r="CQ87" i="4" a="1"/>
  <c r="CQ87" i="4" s="1"/>
  <c r="CU87" i="4" a="1"/>
  <c r="CU87" i="4" s="1"/>
  <c r="CM87" i="4" a="1"/>
  <c r="CM87" i="4" s="1"/>
  <c r="CM67" i="4" a="1"/>
  <c r="CM67" i="4" s="1"/>
  <c r="CQ67" i="4" a="1"/>
  <c r="CQ67" i="4" s="1"/>
  <c r="CS67" i="4" a="1"/>
  <c r="CS67" i="4" s="1"/>
  <c r="CN67" i="4" a="1"/>
  <c r="CN67" i="4" s="1"/>
  <c r="CT67" i="4" a="1"/>
  <c r="CT67" i="4" s="1"/>
  <c r="CO67" i="4" a="1"/>
  <c r="CO67" i="4" s="1"/>
  <c r="CP67" i="4" a="1"/>
  <c r="CP67" i="4" s="1"/>
  <c r="CU67" i="4" a="1"/>
  <c r="CU67" i="4" s="1"/>
  <c r="CR67" i="4" a="1"/>
  <c r="CR67" i="4" s="1"/>
  <c r="CL67" i="4" a="1"/>
  <c r="CL67" i="4" s="1"/>
  <c r="CM61" i="4" a="1"/>
  <c r="CM61" i="4" s="1"/>
  <c r="CQ61" i="4" a="1"/>
  <c r="CQ61" i="4" s="1"/>
  <c r="CU61" i="4" a="1"/>
  <c r="CU61" i="4" s="1"/>
  <c r="CO61" i="4" a="1"/>
  <c r="CO61" i="4" s="1"/>
  <c r="CS61" i="4" a="1"/>
  <c r="CS61" i="4" s="1"/>
  <c r="CL61" i="4" a="1"/>
  <c r="CL61" i="4" s="1"/>
  <c r="CP61" i="4" a="1"/>
  <c r="CP61" i="4" s="1"/>
  <c r="CT61" i="4" a="1"/>
  <c r="CT61" i="4" s="1"/>
  <c r="CN61" i="4" a="1"/>
  <c r="CN61" i="4" s="1"/>
  <c r="CR61" i="4" a="1"/>
  <c r="CR61" i="4" s="1"/>
  <c r="CO64" i="4" a="1"/>
  <c r="CO64" i="4" s="1"/>
  <c r="CS64" i="4" a="1"/>
  <c r="CS64" i="4" s="1"/>
  <c r="CR64" i="4" a="1"/>
  <c r="CR64" i="4" s="1"/>
  <c r="CL64" i="4" a="1"/>
  <c r="CL64" i="4" s="1"/>
  <c r="CM64" i="4" a="1"/>
  <c r="CM64" i="4" s="1"/>
  <c r="CN64" i="4" a="1"/>
  <c r="CN64" i="4" s="1"/>
  <c r="CT64" i="4" a="1"/>
  <c r="CT64" i="4" s="1"/>
  <c r="CP64" i="4" a="1"/>
  <c r="CP64" i="4" s="1"/>
  <c r="CQ64" i="4" a="1"/>
  <c r="CQ64" i="4" s="1"/>
  <c r="CU64" i="4" a="1"/>
  <c r="CU64" i="4" s="1"/>
  <c r="CM57" i="4" a="1"/>
  <c r="CM57" i="4" s="1"/>
  <c r="CQ57" i="4" a="1"/>
  <c r="CQ57" i="4" s="1"/>
  <c r="CU57" i="4" a="1"/>
  <c r="CU57" i="4" s="1"/>
  <c r="CO57" i="4" a="1"/>
  <c r="CO57" i="4" s="1"/>
  <c r="CS57" i="4" a="1"/>
  <c r="CS57" i="4" s="1"/>
  <c r="CL57" i="4" a="1"/>
  <c r="CL57" i="4" s="1"/>
  <c r="CP57" i="4" a="1"/>
  <c r="CP57" i="4" s="1"/>
  <c r="CT57" i="4" a="1"/>
  <c r="CT57" i="4" s="1"/>
  <c r="CN57" i="4" a="1"/>
  <c r="CN57" i="4" s="1"/>
  <c r="CR57" i="4" a="1"/>
  <c r="CR57" i="4" s="1"/>
  <c r="CL93" i="4" a="1"/>
  <c r="CL93" i="4" s="1"/>
  <c r="CP93" i="4" a="1"/>
  <c r="CP93" i="4" s="1"/>
  <c r="CT93" i="4" a="1"/>
  <c r="CT93" i="4" s="1"/>
  <c r="CQ93" i="4" a="1"/>
  <c r="CQ93" i="4" s="1"/>
  <c r="CR93" i="4" a="1"/>
  <c r="CR93" i="4" s="1"/>
  <c r="CS93" i="4" a="1"/>
  <c r="CS93" i="4" s="1"/>
  <c r="CM93" i="4" a="1"/>
  <c r="CM93" i="4" s="1"/>
  <c r="CN93" i="4" a="1"/>
  <c r="CN93" i="4" s="1"/>
  <c r="CO93" i="4" a="1"/>
  <c r="CO93" i="4" s="1"/>
  <c r="CU93" i="4" a="1"/>
  <c r="CU93" i="4" s="1"/>
  <c r="CL91" i="4" a="1"/>
  <c r="CL91" i="4" s="1"/>
  <c r="CP91" i="4" a="1"/>
  <c r="CP91" i="4" s="1"/>
  <c r="CT91" i="4" a="1"/>
  <c r="CT91" i="4" s="1"/>
  <c r="CQ91" i="4" a="1"/>
  <c r="CQ91" i="4" s="1"/>
  <c r="CR91" i="4" a="1"/>
  <c r="CR91" i="4" s="1"/>
  <c r="CS91" i="4" a="1"/>
  <c r="CS91" i="4" s="1"/>
  <c r="CM91" i="4" a="1"/>
  <c r="CM91" i="4" s="1"/>
  <c r="CN91" i="4" a="1"/>
  <c r="CN91" i="4" s="1"/>
  <c r="CO91" i="4" a="1"/>
  <c r="CO91" i="4" s="1"/>
  <c r="CU91" i="4" a="1"/>
  <c r="CU91" i="4" s="1"/>
  <c r="CL113" i="4" a="1"/>
  <c r="CL113" i="4" s="1"/>
  <c r="CP113" i="4" a="1"/>
  <c r="CP113" i="4" s="1"/>
  <c r="CT113" i="4" a="1"/>
  <c r="CT113" i="4" s="1"/>
  <c r="CM113" i="4" a="1"/>
  <c r="CM113" i="4" s="1"/>
  <c r="CQ113" i="4" a="1"/>
  <c r="CQ113" i="4" s="1"/>
  <c r="CU113" i="4" a="1"/>
  <c r="CU113" i="4" s="1"/>
  <c r="CN113" i="4" a="1"/>
  <c r="CN113" i="4" s="1"/>
  <c r="CO113" i="4" a="1"/>
  <c r="CO113" i="4" s="1"/>
  <c r="CS113" i="4" a="1"/>
  <c r="CS113" i="4" s="1"/>
  <c r="CR113" i="4" a="1"/>
  <c r="CR113" i="4" s="1"/>
  <c r="CN112" i="4" a="1"/>
  <c r="CN112" i="4" s="1"/>
  <c r="CR112" i="4" a="1"/>
  <c r="CR112" i="4" s="1"/>
  <c r="CO112" i="4" a="1"/>
  <c r="CO112" i="4" s="1"/>
  <c r="CS112" i="4" a="1"/>
  <c r="CS112" i="4" s="1"/>
  <c r="CP112" i="4" a="1"/>
  <c r="CP112" i="4" s="1"/>
  <c r="CQ112" i="4" a="1"/>
  <c r="CQ112" i="4" s="1"/>
  <c r="CT112" i="4" a="1"/>
  <c r="CT112" i="4" s="1"/>
  <c r="CU112" i="4" a="1"/>
  <c r="CU112" i="4" s="1"/>
  <c r="CL112" i="4" a="1"/>
  <c r="CL112" i="4" s="1"/>
  <c r="CM112" i="4" a="1"/>
  <c r="CM112" i="4" s="1"/>
  <c r="CO62" i="4" a="1"/>
  <c r="CO62" i="4" s="1"/>
  <c r="CS62" i="4" a="1"/>
  <c r="CS62" i="4" s="1"/>
  <c r="CM62" i="4" a="1"/>
  <c r="CM62" i="4" s="1"/>
  <c r="CQ62" i="4" a="1"/>
  <c r="CQ62" i="4" s="1"/>
  <c r="CU62" i="4" a="1"/>
  <c r="CU62" i="4" s="1"/>
  <c r="CN62" i="4" a="1"/>
  <c r="CN62" i="4" s="1"/>
  <c r="CR62" i="4" a="1"/>
  <c r="CR62" i="4" s="1"/>
  <c r="CL62" i="4" a="1"/>
  <c r="CL62" i="4" s="1"/>
  <c r="CP62" i="4" a="1"/>
  <c r="CP62" i="4" s="1"/>
  <c r="CT62" i="4" a="1"/>
  <c r="CT62" i="4" s="1"/>
  <c r="CN88" i="4" a="1"/>
  <c r="CN88" i="4" s="1"/>
  <c r="CR88" i="4" a="1"/>
  <c r="CR88" i="4" s="1"/>
  <c r="CL88" i="4" a="1"/>
  <c r="CL88" i="4" s="1"/>
  <c r="CP88" i="4" a="1"/>
  <c r="CP88" i="4" s="1"/>
  <c r="CT88" i="4" a="1"/>
  <c r="CT88" i="4" s="1"/>
  <c r="CM88" i="4" a="1"/>
  <c r="CM88" i="4" s="1"/>
  <c r="CQ88" i="4" a="1"/>
  <c r="CQ88" i="4" s="1"/>
  <c r="CU88" i="4" a="1"/>
  <c r="CU88" i="4" s="1"/>
  <c r="CS88" i="4" a="1"/>
  <c r="CS88" i="4" s="1"/>
  <c r="CO88" i="4" a="1"/>
  <c r="CO88" i="4" s="1"/>
  <c r="CP100" i="4" a="1"/>
  <c r="CP100" i="4" s="1"/>
  <c r="CQ100" i="4" a="1"/>
  <c r="CQ100" i="4" s="1"/>
  <c r="CL100" i="4" a="1"/>
  <c r="CL100" i="4" s="1"/>
  <c r="CM100" i="4" a="1"/>
  <c r="CM100" i="4" s="1"/>
  <c r="CR100" i="4" a="1"/>
  <c r="CR100" i="4" s="1"/>
  <c r="CN100" i="4" a="1"/>
  <c r="CN100" i="4" s="1"/>
  <c r="CS100" i="4" a="1"/>
  <c r="CS100" i="4" s="1"/>
  <c r="CT100" i="4" a="1"/>
  <c r="CT100" i="4" s="1"/>
  <c r="CO100" i="4" a="1"/>
  <c r="CO100" i="4" s="1"/>
  <c r="CU100" i="4" a="1"/>
  <c r="CU100" i="4" s="1"/>
  <c r="CO66" i="4" a="1"/>
  <c r="CO66" i="4" s="1"/>
  <c r="CS66" i="4" a="1"/>
  <c r="CS66" i="4" s="1"/>
  <c r="CU66" i="4" a="1"/>
  <c r="CU66" i="4" s="1"/>
  <c r="CQ66" i="4" a="1"/>
  <c r="CQ66" i="4" s="1"/>
  <c r="CR66" i="4" a="1"/>
  <c r="CR66" i="4" s="1"/>
  <c r="CL66" i="4" a="1"/>
  <c r="CL66" i="4" s="1"/>
  <c r="CM66" i="4" a="1"/>
  <c r="CM66" i="4" s="1"/>
  <c r="CN66" i="4" a="1"/>
  <c r="CN66" i="4" s="1"/>
  <c r="CP66" i="4" a="1"/>
  <c r="CP66" i="4" s="1"/>
  <c r="CT66" i="4" a="1"/>
  <c r="CT66" i="4" s="1"/>
  <c r="CP52" i="4" a="1"/>
  <c r="CP52" i="4" s="1"/>
  <c r="CU52" i="4" a="1"/>
  <c r="CU52" i="4" s="1"/>
  <c r="CR52" i="4" a="1"/>
  <c r="CR52" i="4" s="1"/>
  <c r="CN52" i="4" a="1"/>
  <c r="CN52" i="4" s="1"/>
  <c r="CS52" i="4" a="1"/>
  <c r="CS52" i="4" s="1"/>
  <c r="CO52" i="4" a="1"/>
  <c r="CO52" i="4" s="1"/>
  <c r="CT52" i="4" a="1"/>
  <c r="CT52" i="4" s="1"/>
  <c r="CL52" i="4" a="1"/>
  <c r="CL52" i="4" s="1"/>
  <c r="CM52" i="4" a="1"/>
  <c r="CM52" i="4" s="1"/>
  <c r="CQ52" i="4" a="1"/>
  <c r="CQ52" i="4" s="1"/>
  <c r="CR50" i="4" a="1"/>
  <c r="CR50" i="4" s="1"/>
  <c r="CO50" i="4" a="1"/>
  <c r="CO50" i="4" s="1"/>
  <c r="CT50" i="4" a="1"/>
  <c r="CT50" i="4" s="1"/>
  <c r="CP50" i="4" a="1"/>
  <c r="CP50" i="4" s="1"/>
  <c r="CU50" i="4" a="1"/>
  <c r="CU50" i="4" s="1"/>
  <c r="CL50" i="4" a="1"/>
  <c r="CL50" i="4" s="1"/>
  <c r="CQ50" i="4" a="1"/>
  <c r="CQ50" i="4" s="1"/>
  <c r="CS50" i="4" a="1"/>
  <c r="CS50" i="4" s="1"/>
  <c r="CM50" i="4" a="1"/>
  <c r="CM50" i="4" s="1"/>
  <c r="CN50" i="4" a="1"/>
  <c r="CN50" i="4" s="1"/>
  <c r="CN84" i="4" a="1"/>
  <c r="CN84" i="4" s="1"/>
  <c r="CR84" i="4" a="1"/>
  <c r="CR84" i="4" s="1"/>
  <c r="CL84" i="4" a="1"/>
  <c r="CL84" i="4" s="1"/>
  <c r="CP84" i="4" a="1"/>
  <c r="CP84" i="4" s="1"/>
  <c r="CT84" i="4" a="1"/>
  <c r="CT84" i="4" s="1"/>
  <c r="CM84" i="4" a="1"/>
  <c r="CM84" i="4" s="1"/>
  <c r="CQ84" i="4" a="1"/>
  <c r="CQ84" i="4" s="1"/>
  <c r="CU84" i="4" a="1"/>
  <c r="CU84" i="4" s="1"/>
  <c r="CO84" i="4" a="1"/>
  <c r="CO84" i="4" s="1"/>
  <c r="CS84" i="4" a="1"/>
  <c r="CS84" i="4" s="1"/>
  <c r="CM63" i="4" a="1"/>
  <c r="CM63" i="4" s="1"/>
  <c r="CQ63" i="4" a="1"/>
  <c r="CQ63" i="4" s="1"/>
  <c r="CU63" i="4" a="1"/>
  <c r="CU63" i="4" s="1"/>
  <c r="CO63" i="4" a="1"/>
  <c r="CO63" i="4" s="1"/>
  <c r="CS63" i="4" a="1"/>
  <c r="CS63" i="4" s="1"/>
  <c r="CL63" i="4" a="1"/>
  <c r="CL63" i="4" s="1"/>
  <c r="CP63" i="4" a="1"/>
  <c r="CP63" i="4" s="1"/>
  <c r="CR63" i="4" a="1"/>
  <c r="CR63" i="4" s="1"/>
  <c r="CN63" i="4" a="1"/>
  <c r="CN63" i="4" s="1"/>
  <c r="CT63" i="4" a="1"/>
  <c r="CT63" i="4" s="1"/>
  <c r="CM55" i="4" a="1"/>
  <c r="CM55" i="4" s="1"/>
  <c r="CQ55" i="4" a="1"/>
  <c r="CQ55" i="4" s="1"/>
  <c r="CU55" i="4" a="1"/>
  <c r="CU55" i="4" s="1"/>
  <c r="CO55" i="4" a="1"/>
  <c r="CO55" i="4" s="1"/>
  <c r="CS55" i="4" a="1"/>
  <c r="CS55" i="4" s="1"/>
  <c r="CL55" i="4" a="1"/>
  <c r="CL55" i="4" s="1"/>
  <c r="CP55" i="4" a="1"/>
  <c r="CP55" i="4" s="1"/>
  <c r="CT55" i="4" a="1"/>
  <c r="CT55" i="4" s="1"/>
  <c r="CR55" i="4" a="1"/>
  <c r="CR55" i="4" s="1"/>
  <c r="CN55" i="4" a="1"/>
  <c r="CN55" i="4" s="1"/>
  <c r="CN86" i="4" a="1"/>
  <c r="CN86" i="4" s="1"/>
  <c r="CR86" i="4" a="1"/>
  <c r="CR86" i="4" s="1"/>
  <c r="CL86" i="4" a="1"/>
  <c r="CL86" i="4" s="1"/>
  <c r="CP86" i="4" a="1"/>
  <c r="CP86" i="4" s="1"/>
  <c r="CT86" i="4" a="1"/>
  <c r="CT86" i="4" s="1"/>
  <c r="CM86" i="4" a="1"/>
  <c r="CM86" i="4" s="1"/>
  <c r="CQ86" i="4" a="1"/>
  <c r="CQ86" i="4" s="1"/>
  <c r="CU86" i="4" a="1"/>
  <c r="CU86" i="4" s="1"/>
  <c r="CO86" i="4" a="1"/>
  <c r="CO86" i="4" s="1"/>
  <c r="CS86" i="4" a="1"/>
  <c r="CS86" i="4" s="1"/>
  <c r="CP99" i="4" a="1"/>
  <c r="CP99" i="4" s="1"/>
  <c r="CU99" i="4" a="1"/>
  <c r="CU99" i="4" s="1"/>
  <c r="CL99" i="4" a="1"/>
  <c r="CL99" i="4" s="1"/>
  <c r="CQ99" i="4" a="1"/>
  <c r="CQ99" i="4" s="1"/>
  <c r="CR99" i="4" a="1"/>
  <c r="CR99" i="4" s="1"/>
  <c r="CM99" i="4" a="1"/>
  <c r="CM99" i="4" s="1"/>
  <c r="CS99" i="4" a="1"/>
  <c r="CS99" i="4" s="1"/>
  <c r="CN99" i="4" a="1"/>
  <c r="CN99" i="4" s="1"/>
  <c r="CO99" i="4" a="1"/>
  <c r="CO99" i="4" s="1"/>
  <c r="CT99" i="4" a="1"/>
  <c r="CT99" i="4" s="1"/>
  <c r="CN116" i="4" a="1"/>
  <c r="CN116" i="4" s="1"/>
  <c r="CR116" i="4" a="1"/>
  <c r="CR116" i="4" s="1"/>
  <c r="CO116" i="4" a="1"/>
  <c r="CO116" i="4" s="1"/>
  <c r="CS116" i="4" a="1"/>
  <c r="CS116" i="4" s="1"/>
  <c r="CP116" i="4" a="1"/>
  <c r="CP116" i="4" s="1"/>
  <c r="CQ116" i="4" a="1"/>
  <c r="CQ116" i="4" s="1"/>
  <c r="CT116" i="4" a="1"/>
  <c r="CT116" i="4" s="1"/>
  <c r="CU116" i="4" a="1"/>
  <c r="CU116" i="4" s="1"/>
  <c r="CL116" i="4" a="1"/>
  <c r="CL116" i="4" s="1"/>
  <c r="CM116" i="4" a="1"/>
  <c r="CM116" i="4" s="1"/>
  <c r="CL81" i="4" a="1"/>
  <c r="CL81" i="4" s="1"/>
  <c r="CP81" i="4" a="1"/>
  <c r="CP81" i="4" s="1"/>
  <c r="CT81" i="4" a="1"/>
  <c r="CT81" i="4" s="1"/>
  <c r="CN81" i="4" a="1"/>
  <c r="CN81" i="4" s="1"/>
  <c r="CR81" i="4" a="1"/>
  <c r="CR81" i="4" s="1"/>
  <c r="CO81" i="4" a="1"/>
  <c r="CO81" i="4" s="1"/>
  <c r="CS81" i="4" a="1"/>
  <c r="CS81" i="4" s="1"/>
  <c r="CM81" i="4" a="1"/>
  <c r="CM81" i="4" s="1"/>
  <c r="CQ81" i="4" a="1"/>
  <c r="CQ81" i="4" s="1"/>
  <c r="CU81" i="4" a="1"/>
  <c r="CU81" i="4" s="1"/>
  <c r="CL2" i="4"/>
  <c r="CM2" i="4"/>
  <c r="CU1" i="4"/>
  <c r="BZ104" i="4"/>
  <c r="CH103" i="4"/>
  <c r="CA103" i="4"/>
  <c r="CF103" i="4"/>
  <c r="CG103" i="4"/>
  <c r="CG102" i="4"/>
  <c r="CH102" i="4"/>
  <c r="CA102" i="4"/>
  <c r="BK16" i="4"/>
  <c r="BJ17" i="4"/>
  <c r="BQ15" i="4"/>
  <c r="BJ57" i="4"/>
  <c r="BR53" i="4" a="1"/>
  <c r="BR53" i="4" s="1"/>
  <c r="BU51" i="4" a="1"/>
  <c r="BU51" i="4" s="1"/>
  <c r="BT18" i="6" a="1"/>
  <c r="BQ35" i="6" a="1"/>
  <c r="BR32" i="6" a="1"/>
  <c r="BQ28" i="6" a="1"/>
  <c r="BR25" i="6" a="1"/>
  <c r="BQ42" i="6" a="1"/>
  <c r="BS36" i="6" a="1"/>
  <c r="BK11" i="6" a="1"/>
  <c r="BJ7" i="6" a="1"/>
  <c r="BL42" i="6" a="1"/>
  <c r="BJ21" i="6" a="1"/>
  <c r="BU14" i="6" a="1"/>
  <c r="BT11" i="6" a="1"/>
  <c r="BQ7" i="6" a="1"/>
  <c r="BM25" i="6" a="1"/>
  <c r="BN23" i="6" a="1"/>
  <c r="BU21" i="6" a="1"/>
  <c r="BR30" i="6" a="1"/>
  <c r="BR23" i="6" a="1"/>
  <c r="BR37" i="6" a="1"/>
  <c r="BL8" i="6" a="1"/>
  <c r="BK4" i="6" a="1"/>
  <c r="BK37" i="6" a="1"/>
  <c r="BN37" i="6" a="1"/>
  <c r="BN21" i="6" a="1"/>
  <c r="BJ35" i="6" a="1"/>
  <c r="BR13" i="6" a="1"/>
  <c r="BR6" i="6" a="1"/>
  <c r="BR2" i="6" a="1"/>
  <c r="BR16" i="6" a="1"/>
  <c r="BT32" i="6" a="1"/>
  <c r="BT25" i="6" a="1"/>
  <c r="BT39" i="6" a="1"/>
  <c r="BK9" i="6" a="1"/>
  <c r="BL1" i="6" a="1"/>
  <c r="BM39" i="6" a="1"/>
  <c r="BK41" i="6" a="1"/>
  <c r="BL29" i="6" a="1"/>
  <c r="BU9" i="6" a="1"/>
  <c r="BU2" i="6" a="1"/>
  <c r="BR20" i="6" a="1"/>
  <c r="BU35" i="6" a="1"/>
  <c r="BU28" i="6" a="1"/>
  <c r="BU42" i="6" a="1"/>
  <c r="BM11" i="6" a="1"/>
  <c r="BK13" i="6" a="1"/>
  <c r="BN7" i="6" a="1"/>
  <c r="BN42" i="6" a="1"/>
  <c r="BL21" i="6" a="1"/>
  <c r="BK18" i="6" a="1"/>
  <c r="BK32" i="6" a="1"/>
  <c r="BQ14" i="6" a="1"/>
  <c r="BS7" i="6" a="1"/>
  <c r="BJ28" i="6" a="1"/>
  <c r="BK25" i="6" a="1"/>
  <c r="BS21" i="6" a="1"/>
  <c r="BU30" i="6" a="1"/>
  <c r="BU23" i="6" a="1"/>
  <c r="BU37" i="6" a="1"/>
  <c r="BN9" i="6" a="1"/>
  <c r="BN14" i="6" a="1"/>
  <c r="BM4" i="6" a="1"/>
  <c r="BM18" i="6" a="1"/>
  <c r="BL15" i="6" a="1"/>
  <c r="BL35" i="6" a="1"/>
  <c r="BR4" i="6" a="1"/>
  <c r="BL22" i="6" a="1"/>
  <c r="BQ21" i="6" a="1"/>
  <c r="BU16" i="6" a="1"/>
  <c r="BR34" i="6" a="1"/>
  <c r="BR27" i="6" a="1"/>
  <c r="BR41" i="6" a="1"/>
  <c r="BJ14" i="6" a="1"/>
  <c r="BK2" i="6" a="1"/>
  <c r="BJ42" i="6" a="1"/>
  <c r="BK16" i="6" a="1"/>
  <c r="BK30" i="6" a="1"/>
  <c r="BN30" i="6" a="1"/>
  <c r="BS14" i="6" a="1"/>
  <c r="BU7" i="6" a="1"/>
  <c r="BR18" i="6" a="1"/>
  <c r="BS35" i="6" a="1"/>
  <c r="BS28" i="6" a="1"/>
  <c r="BR39" i="6" a="1"/>
  <c r="BK6" i="6" a="1"/>
  <c r="BL36" i="6" a="1"/>
  <c r="BK20" i="6" a="1"/>
  <c r="BM32" i="6" a="1"/>
  <c r="BK34" i="6" a="1"/>
  <c r="BS8" i="6" a="1"/>
  <c r="BS1" i="6" a="1"/>
  <c r="BL28" i="6" a="1"/>
  <c r="BN28" i="6" a="1"/>
  <c r="BS15" i="6" a="1"/>
  <c r="BS29" i="6" a="1"/>
  <c r="BS22" i="6" a="1"/>
  <c r="BS42" i="6" a="1"/>
  <c r="BL14" i="6" a="1"/>
  <c r="BN2" i="6" a="1"/>
  <c r="BL7" i="6" a="1"/>
  <c r="BK39" i="6" a="1"/>
  <c r="BN16" i="6" a="1"/>
  <c r="BN35" i="6" a="1"/>
  <c r="BR11" i="6" a="1"/>
  <c r="BR9" i="6" a="1"/>
  <c r="BT4" i="6" a="1"/>
  <c r="BK23" i="6" a="1"/>
  <c r="BK27" i="6" a="1"/>
  <c r="BF37" i="6" a="1"/>
  <c r="BE25" i="6" a="1"/>
  <c r="AV18" i="6" a="1"/>
  <c r="AV25" i="6" a="1"/>
  <c r="BC18" i="6" a="1"/>
  <c r="AY37" i="6" a="1"/>
  <c r="BE32" i="6" a="1"/>
  <c r="BF35" i="6" a="1"/>
  <c r="AY35" i="6" a="1"/>
  <c r="BD42" i="6" a="1"/>
  <c r="BC27" i="6" a="1"/>
  <c r="AV16" i="6" a="1"/>
  <c r="BE18" i="6" a="1"/>
  <c r="AY42" i="6" a="1"/>
  <c r="AY16" i="6" a="1"/>
  <c r="BD29" i="6" a="1"/>
  <c r="BC39" i="6" a="1"/>
  <c r="BC25" i="6" a="1"/>
  <c r="BF28" i="6" a="1"/>
  <c r="AX18" i="6" a="1"/>
  <c r="AY28" i="6" a="1"/>
  <c r="AX25" i="6" a="1"/>
  <c r="BF16" i="6" a="1"/>
  <c r="AU42" i="6" a="1"/>
  <c r="BF30" i="6" a="1"/>
  <c r="AV32" i="6" a="1"/>
  <c r="AV23" i="6" a="1"/>
  <c r="AV30" i="6" a="1"/>
  <c r="AV41" i="6" a="1"/>
  <c r="BB42" i="6" a="1"/>
  <c r="BC23" i="6" a="1"/>
  <c r="BD22" i="6" a="1"/>
  <c r="AW15" i="6" a="1"/>
  <c r="AW22" i="6" a="1"/>
  <c r="AW28" i="6" a="1"/>
  <c r="BD21" i="6" a="1"/>
  <c r="BF21" i="6" a="1"/>
  <c r="BB35" i="6" a="1"/>
  <c r="AW29" i="6" a="1"/>
  <c r="AX32" i="6" a="1"/>
  <c r="AW35" i="6" a="1"/>
  <c r="BD36" i="6" a="1"/>
  <c r="BF42" i="6" a="1"/>
  <c r="BB28" i="6" a="1"/>
  <c r="AV20" i="6" a="1"/>
  <c r="AV27" i="6" a="1"/>
  <c r="BD15" i="6" a="1"/>
  <c r="AX39" i="6" a="1"/>
  <c r="BD35" i="6" a="1"/>
  <c r="AU35" i="6" a="1"/>
  <c r="AV34" i="6" a="1"/>
  <c r="AW21" i="6" a="1"/>
  <c r="BC20" i="6" a="1"/>
  <c r="AV37" i="6" a="1"/>
  <c r="BD28" i="6" a="1"/>
  <c r="BC32" i="6" a="1"/>
  <c r="BE39" i="6" a="1"/>
  <c r="BF23" i="6" a="1"/>
  <c r="AU21" i="6" a="1"/>
  <c r="AU28" i="6" a="1"/>
  <c r="BC16" i="6" a="1"/>
  <c r="AV39" i="6" a="1"/>
  <c r="AW36" i="6" a="1"/>
  <c r="BC34" i="6" a="1"/>
  <c r="AY30" i="6" a="1"/>
  <c r="BC37" i="6" a="1"/>
  <c r="AY23" i="6" a="1"/>
  <c r="AW42" i="6" a="1"/>
  <c r="BC30" i="6" a="1"/>
  <c r="BC41" i="6" a="1"/>
  <c r="AY21" i="6" a="1"/>
  <c r="BB21" i="6" a="1"/>
  <c r="K1" i="6" a="1"/>
  <c r="D1" i="6" a="1"/>
  <c r="J2" i="6" a="1"/>
  <c r="F7" i="6" a="1"/>
  <c r="CL9" i="4" a="1"/>
  <c r="CO9" i="4" a="1"/>
  <c r="CN19" i="4" a="1"/>
  <c r="CL16" i="4" a="1"/>
  <c r="CR33" i="4" a="1"/>
  <c r="CP29" i="4" a="1"/>
  <c r="CO6" i="4" a="1"/>
  <c r="CN10" i="4" a="1"/>
  <c r="CQ10" i="4" a="1"/>
  <c r="CN5" i="4" a="1"/>
  <c r="CT37" i="4" a="1"/>
  <c r="CQ26" i="4" a="1"/>
  <c r="CL26" i="4" a="1"/>
  <c r="CT27" i="4" a="1"/>
  <c r="CQ3" i="4" a="1"/>
  <c r="CO14" i="4" a="1"/>
  <c r="CL11" i="4" a="1"/>
  <c r="CO11" i="4" a="1"/>
  <c r="CT36" i="4" a="1"/>
  <c r="CQ36" i="4" a="1"/>
  <c r="CQ21" i="4" a="1"/>
  <c r="CN7" i="4" a="1"/>
  <c r="CL8" i="4" a="1"/>
  <c r="CR35" i="4" a="1"/>
  <c r="CQ28" i="4" a="1"/>
  <c r="CO4" i="4" a="1"/>
  <c r="CL15" i="4" a="1"/>
  <c r="CO15" i="4" a="1"/>
  <c r="CS25" i="4" a="1"/>
  <c r="CM24" i="4" a="1"/>
  <c r="CN22" i="4" a="1"/>
  <c r="CQ13" i="4" a="1"/>
  <c r="CO12" i="4" a="1"/>
  <c r="CO23" i="4" a="1"/>
  <c r="CS23" i="4" a="1"/>
  <c r="CS32" i="4" a="1"/>
  <c r="CT18" i="4" a="1"/>
  <c r="CQ17" i="4" a="1"/>
  <c r="CS38" i="4" a="1"/>
  <c r="CL31" i="4" a="1"/>
  <c r="CN20" i="4" a="1"/>
  <c r="CQ20" i="4" a="1"/>
  <c r="CO34" i="4" a="1"/>
  <c r="CN39" i="4" a="1"/>
  <c r="CP30" i="4" a="1"/>
  <c r="CN40" i="4" a="1"/>
  <c r="CM40" i="4" a="1"/>
  <c r="CU39" i="4" a="1"/>
  <c r="CP9" i="4" a="1"/>
  <c r="CS9" i="4" a="1"/>
  <c r="CR19" i="4" a="1"/>
  <c r="CP16" i="4" a="1"/>
  <c r="CM33" i="4" a="1"/>
  <c r="CU29" i="4" a="1"/>
  <c r="CS6" i="4" a="1"/>
  <c r="CR10" i="4" a="1"/>
  <c r="CU10" i="4" a="1"/>
  <c r="CR5" i="4" a="1"/>
  <c r="CQ37" i="4" a="1"/>
  <c r="CM26" i="4" a="1"/>
  <c r="CP26" i="4" a="1"/>
  <c r="CP27" i="4" a="1"/>
  <c r="CU3" i="4" a="1"/>
  <c r="CS14" i="4" a="1"/>
  <c r="CP11" i="4" a="1"/>
  <c r="CS11" i="4" a="1"/>
  <c r="CM36" i="4" a="1"/>
  <c r="CU36" i="4" a="1"/>
  <c r="CU21" i="4" a="1"/>
  <c r="CR7" i="4" a="1"/>
  <c r="CP8" i="4" a="1"/>
  <c r="CN35" i="4" a="1"/>
  <c r="CL28" i="4" a="1"/>
  <c r="CS4" i="4" a="1"/>
  <c r="CP15" i="4" a="1"/>
  <c r="CS15" i="4" a="1"/>
  <c r="CN25" i="4" a="1"/>
  <c r="CR24" i="4" a="1"/>
  <c r="CS22" i="4" a="1"/>
  <c r="CU13" i="4" a="1"/>
  <c r="CS12" i="4" a="1"/>
  <c r="CT23" i="4" a="1"/>
  <c r="CN23" i="4" a="1"/>
  <c r="CP32" i="4" a="1"/>
  <c r="CM18" i="4" a="1"/>
  <c r="CU17" i="4" a="1"/>
  <c r="CT38" i="4" a="1"/>
  <c r="CQ31" i="4" a="1"/>
  <c r="CR20" i="4" a="1"/>
  <c r="CU20" i="4" a="1"/>
  <c r="CU34" i="4" a="1"/>
  <c r="CT40" i="4" a="1"/>
  <c r="CO39" i="4" a="1"/>
  <c r="CT9" i="4" a="1"/>
  <c r="CL19" i="4" a="1"/>
  <c r="CO19" i="4" a="1"/>
  <c r="CT16" i="4" a="1"/>
  <c r="CS33" i="4" a="1"/>
  <c r="CL29" i="4" a="1"/>
  <c r="CL6" i="4" a="1"/>
  <c r="CO10" i="4" a="1"/>
  <c r="CL5" i="4" a="1"/>
  <c r="CO5" i="4" a="1"/>
  <c r="CM37" i="4" a="1"/>
  <c r="CR26" i="4" a="1"/>
  <c r="CL27" i="4" a="1"/>
  <c r="CU27" i="4" a="1"/>
  <c r="CN3" i="4" a="1"/>
  <c r="CL14" i="4" a="1"/>
  <c r="CT11" i="4" a="1"/>
  <c r="CR36" i="4" a="1"/>
  <c r="CN21" i="4" a="1"/>
  <c r="CL7" i="4" a="1"/>
  <c r="CO7" i="4" a="1"/>
  <c r="CT8" i="4" a="1"/>
  <c r="CS35" i="4" a="1"/>
  <c r="CM28" i="4" a="1"/>
  <c r="CN28" i="4" a="1"/>
  <c r="CL4" i="4" a="1"/>
  <c r="CT15" i="4" a="1"/>
  <c r="CP25" i="4" a="1"/>
  <c r="CO25" i="4" a="1"/>
  <c r="CN24" i="4" a="1"/>
  <c r="CO22" i="4" a="1"/>
  <c r="CN13" i="4" a="1"/>
  <c r="CL12" i="4" a="1"/>
  <c r="CP23" i="4" a="1"/>
  <c r="CO32" i="4" a="1"/>
  <c r="CQ32" i="4" a="1"/>
  <c r="CN18" i="4" a="1"/>
  <c r="CQ18" i="4" a="1"/>
  <c r="CN17" i="4" a="1"/>
  <c r="CN38" i="4" a="1"/>
  <c r="CU38" i="4" a="1"/>
  <c r="CR31" i="4" a="1"/>
  <c r="CO20" i="4" a="1"/>
  <c r="CP34" i="4" a="1"/>
  <c r="CL39" i="4" a="1"/>
  <c r="CQ39" i="4" a="1"/>
  <c r="CL30" i="4" a="1"/>
  <c r="CL40" i="4" a="1"/>
  <c r="CL38" i="4" a="1"/>
  <c r="CS20" i="4" a="1"/>
  <c r="CM9" i="4" a="1"/>
  <c r="CP19" i="4" a="1"/>
  <c r="CS19" i="4" a="1"/>
  <c r="CM16" i="4" a="1"/>
  <c r="CN33" i="4" a="1"/>
  <c r="CQ29" i="4" a="1"/>
  <c r="CP6" i="4" a="1"/>
  <c r="CS10" i="4" a="1"/>
  <c r="CP5" i="4" a="1"/>
  <c r="CS5" i="4" a="1"/>
  <c r="CS37" i="4" a="1"/>
  <c r="CN26" i="4" a="1"/>
  <c r="CQ27" i="4" a="1"/>
  <c r="CR27" i="4" a="1"/>
  <c r="CR3" i="4" a="1"/>
  <c r="CP14" i="4" a="1"/>
  <c r="CM11" i="4" a="1"/>
  <c r="CN36" i="4" a="1"/>
  <c r="CR21" i="4" a="1"/>
  <c r="CP7" i="4" a="1"/>
  <c r="CS7" i="4" a="1"/>
  <c r="CM8" i="4" a="1"/>
  <c r="CO35" i="4" a="1"/>
  <c r="CR28" i="4" a="1"/>
  <c r="CS28" i="4" a="1"/>
  <c r="CP4" i="4" a="1"/>
  <c r="CM15" i="4" a="1"/>
  <c r="CU25" i="4" a="1"/>
  <c r="CT25" i="4" a="1"/>
  <c r="CS24" i="4" a="1"/>
  <c r="CU22" i="4" a="1"/>
  <c r="CR13" i="4" a="1"/>
  <c r="CP12" i="4" a="1"/>
  <c r="CU23" i="4" a="1"/>
  <c r="CU32" i="4" a="1"/>
  <c r="CT32" i="4" a="1"/>
  <c r="CR18" i="4" a="1"/>
  <c r="CU18" i="4" a="1"/>
  <c r="CR17" i="4" a="1"/>
  <c r="CR38" i="4" a="1"/>
  <c r="CM31" i="4" a="1"/>
  <c r="CM30" i="4" a="1"/>
  <c r="CQ9" i="4" a="1"/>
  <c r="CT19" i="4" a="1"/>
  <c r="CN16" i="4" a="1"/>
  <c r="CQ16" i="4" a="1"/>
  <c r="CO33" i="4" a="1"/>
  <c r="CN29" i="4" a="1"/>
  <c r="CT6" i="4" a="1"/>
  <c r="CL10" i="4" a="1"/>
  <c r="CT5" i="4" a="1"/>
  <c r="CN37" i="4" a="1"/>
  <c r="CS26" i="4" a="1"/>
  <c r="CM27" i="4" a="1"/>
  <c r="CL3" i="4" a="1"/>
  <c r="CO3" i="4" a="1"/>
  <c r="CT14" i="4" a="1"/>
  <c r="CQ11" i="4" a="1"/>
  <c r="CS36" i="4" a="1"/>
  <c r="CL21" i="4" a="1"/>
  <c r="CO21" i="4" a="1"/>
  <c r="CT7" i="4" a="1"/>
  <c r="CN8" i="4" a="1"/>
  <c r="CQ8" i="4" a="1"/>
  <c r="CT35" i="4" a="1"/>
  <c r="CT28" i="4" a="1"/>
  <c r="CT4" i="4" a="1"/>
  <c r="CQ15" i="4" a="1"/>
  <c r="CL25" i="4" a="1"/>
  <c r="CO24" i="4" a="1"/>
  <c r="CT24" i="4" a="1"/>
  <c r="CP22" i="4" a="1"/>
  <c r="CL13" i="4" a="1"/>
  <c r="CO13" i="4" a="1"/>
  <c r="CT12" i="4" a="1"/>
  <c r="CL23" i="4" a="1"/>
  <c r="CL32" i="4" a="1"/>
  <c r="CO18" i="4" a="1"/>
  <c r="CL17" i="4" a="1"/>
  <c r="CO17" i="4" a="1"/>
  <c r="CM38" i="4" a="1"/>
  <c r="CS31" i="4" a="1"/>
  <c r="CL20" i="4" a="1"/>
  <c r="CQ34" i="4" a="1"/>
  <c r="CM34" i="4" a="1"/>
  <c r="CT39" i="4" a="1"/>
  <c r="CR30" i="4" a="1"/>
  <c r="CO40" i="4" a="1"/>
  <c r="CU9" i="4" a="1"/>
  <c r="CM19" i="4" a="1"/>
  <c r="CR16" i="4" a="1"/>
  <c r="CU16" i="4" a="1"/>
  <c r="CT33" i="4" a="1"/>
  <c r="CO29" i="4" a="1"/>
  <c r="CM6" i="4" a="1"/>
  <c r="CP10" i="4" a="1"/>
  <c r="CM5" i="4" a="1"/>
  <c r="CU37" i="4" a="1"/>
  <c r="CT26" i="4" a="1"/>
  <c r="CS27" i="4" a="1"/>
  <c r="CP3" i="4" a="1"/>
  <c r="CS3" i="4" a="1"/>
  <c r="CM14" i="4" a="1"/>
  <c r="CU11" i="4" a="1"/>
  <c r="CL36" i="4" a="1"/>
  <c r="CP21" i="4" a="1"/>
  <c r="CS21" i="4" a="1"/>
  <c r="CM7" i="4" a="1"/>
  <c r="CR8" i="4" a="1"/>
  <c r="CU8" i="4" a="1"/>
  <c r="CM35" i="4" a="1"/>
  <c r="CO28" i="4" a="1"/>
  <c r="CM4" i="4" a="1"/>
  <c r="CU15" i="4" a="1"/>
  <c r="CQ25" i="4" a="1"/>
  <c r="CU24" i="4" a="1"/>
  <c r="CP24" i="4" a="1"/>
  <c r="CQ22" i="4" a="1"/>
  <c r="CP13" i="4" a="1"/>
  <c r="CS13" i="4" a="1"/>
  <c r="CM12" i="4" a="1"/>
  <c r="CQ23" i="4" a="1"/>
  <c r="CM32" i="4" a="1"/>
  <c r="CS18" i="4" a="1"/>
  <c r="CP17" i="4" a="1"/>
  <c r="CS17" i="4" a="1"/>
  <c r="CP38" i="4" a="1"/>
  <c r="CP31" i="4" a="1"/>
  <c r="CP20" i="4" a="1"/>
  <c r="CN34" i="4" a="1"/>
  <c r="CR34" i="4" a="1"/>
  <c r="CR39" i="4" a="1"/>
  <c r="CT30" i="4" a="1"/>
  <c r="CU40" i="4" a="1"/>
  <c r="CS40" i="4" a="1"/>
  <c r="CN9" i="4" a="1"/>
  <c r="CQ19" i="4" a="1"/>
  <c r="CO16" i="4" a="1"/>
  <c r="CP33" i="4" a="1"/>
  <c r="CQ33" i="4" a="1"/>
  <c r="CM29" i="4" a="1"/>
  <c r="CR29" i="4" a="1"/>
  <c r="CN6" i="4" a="1"/>
  <c r="CQ6" i="4" a="1"/>
  <c r="CT10" i="4" a="1"/>
  <c r="CQ5" i="4" a="1"/>
  <c r="CL37" i="4" a="1"/>
  <c r="CO37" i="4" a="1"/>
  <c r="CO26" i="4" a="1"/>
  <c r="CN27" i="4" a="1"/>
  <c r="CT3" i="4" a="1"/>
  <c r="CN14" i="4" a="1"/>
  <c r="CQ14" i="4" a="1"/>
  <c r="CN11" i="4" a="1"/>
  <c r="CO36" i="4" a="1"/>
  <c r="CT21" i="4" a="1"/>
  <c r="CQ7" i="4" a="1"/>
  <c r="CO8" i="4" a="1"/>
  <c r="CL35" i="4" a="1"/>
  <c r="CP35" i="4" a="1"/>
  <c r="CU28" i="4" a="1"/>
  <c r="CN4" i="4" a="1"/>
  <c r="CQ4" i="4" a="1"/>
  <c r="CN15" i="4" a="1"/>
  <c r="CR25" i="4" a="1"/>
  <c r="CQ24" i="4" a="1"/>
  <c r="CL22" i="4" a="1"/>
  <c r="CR22" i="4" a="1"/>
  <c r="CT13" i="4" a="1"/>
  <c r="CN12" i="4" a="1"/>
  <c r="CQ12" i="4" a="1"/>
  <c r="CR23" i="4" a="1"/>
  <c r="CR32" i="4" a="1"/>
  <c r="CL18" i="4" a="1"/>
  <c r="CT17" i="4" a="1"/>
  <c r="CQ38" i="4" a="1"/>
  <c r="CO31" i="4" a="1"/>
  <c r="CU31" i="4" a="1"/>
  <c r="CT20" i="4" a="1"/>
  <c r="CS34" i="4" a="1"/>
  <c r="CM39" i="4" a="1"/>
  <c r="CN30" i="4" a="1"/>
  <c r="CU30" i="4" a="1"/>
  <c r="CP40" i="4" a="1"/>
  <c r="CR40" i="4" a="1"/>
  <c r="CP39" i="4" a="1"/>
  <c r="CR9" i="4" a="1"/>
  <c r="CU19" i="4" a="1"/>
  <c r="CS16" i="4" a="1"/>
  <c r="CU33" i="4" a="1"/>
  <c r="CL33" i="4" a="1"/>
  <c r="CS29" i="4" a="1"/>
  <c r="CT29" i="4" a="1"/>
  <c r="CR6" i="4" a="1"/>
  <c r="CU6" i="4" a="1"/>
  <c r="CM10" i="4" a="1"/>
  <c r="CU5" i="4" a="1"/>
  <c r="CP37" i="4" a="1"/>
  <c r="CR37" i="4" a="1"/>
  <c r="CU26" i="4" a="1"/>
  <c r="CO27" i="4" a="1"/>
  <c r="CM3" i="4" a="1"/>
  <c r="CR14" i="4" a="1"/>
  <c r="CU14" i="4" a="1"/>
  <c r="CR11" i="4" a="1"/>
  <c r="CP36" i="4" a="1"/>
  <c r="CM21" i="4" a="1"/>
  <c r="CU7" i="4" a="1"/>
  <c r="CS8" i="4" a="1"/>
  <c r="CU35" i="4" a="1"/>
  <c r="CQ35" i="4" a="1"/>
  <c r="CP28" i="4" a="1"/>
  <c r="CR4" i="4" a="1"/>
  <c r="CU4" i="4" a="1"/>
  <c r="CR15" i="4" a="1"/>
  <c r="CM25" i="4" a="1"/>
  <c r="CL24" i="4" a="1"/>
  <c r="CM22" i="4" a="1"/>
  <c r="CT22" i="4" a="1"/>
  <c r="CM13" i="4" a="1"/>
  <c r="CR12" i="4" a="1"/>
  <c r="CU12" i="4" a="1"/>
  <c r="CM23" i="4" a="1"/>
  <c r="CN32" i="4" a="1"/>
  <c r="CP18" i="4" a="1"/>
  <c r="CM17" i="4" a="1"/>
  <c r="CO38" i="4" a="1"/>
  <c r="CT31" i="4" a="1"/>
  <c r="CN31" i="4" a="1"/>
  <c r="CM20" i="4" a="1"/>
  <c r="CT34" i="4" a="1"/>
  <c r="CS39" i="4" a="1"/>
  <c r="CS30" i="4" a="1"/>
  <c r="CO30" i="4" a="1"/>
  <c r="CQ40" i="4" a="1"/>
  <c r="CQ30" i="4" a="1"/>
  <c r="CL34" i="4" a="1"/>
  <c r="CT2" i="4" a="1"/>
  <c r="CO2" i="4" a="1"/>
  <c r="CQ2" i="4" a="1"/>
  <c r="CU2" i="4" a="1"/>
  <c r="CP2" i="4" a="1"/>
  <c r="CN2" i="4" a="1"/>
  <c r="CR2" i="4" a="1"/>
  <c r="CS2" i="4" a="1"/>
  <c r="CT1" i="4" a="1"/>
  <c r="CR1" i="4" a="1"/>
  <c r="CO1" i="4" a="1"/>
  <c r="CS1" i="4" a="1"/>
  <c r="CN1" i="4" a="1"/>
  <c r="CP1" i="4" a="1"/>
  <c r="CM1" i="4" a="1"/>
  <c r="CQ1" i="4" a="1"/>
  <c r="BZ105" i="4" a="1"/>
  <c r="CC104" i="4" a="1"/>
  <c r="CB104" i="4" a="1"/>
  <c r="BV15" i="4" a="1"/>
  <c r="BK27" i="6" l="1"/>
  <c r="BK23" i="6"/>
  <c r="BT4" i="6"/>
  <c r="BR9" i="6"/>
  <c r="BR11" i="6"/>
  <c r="BN35" i="6"/>
  <c r="BN16" i="6"/>
  <c r="BK39" i="6"/>
  <c r="BL7" i="6"/>
  <c r="BN2" i="6"/>
  <c r="BL14" i="6"/>
  <c r="BS42" i="6"/>
  <c r="BS22" i="6"/>
  <c r="BS29" i="6"/>
  <c r="BS15" i="6"/>
  <c r="BN28" i="6"/>
  <c r="BL28" i="6"/>
  <c r="BS1" i="6"/>
  <c r="BS8" i="6"/>
  <c r="BK34" i="6"/>
  <c r="BM32" i="6"/>
  <c r="BK20" i="6"/>
  <c r="BL36" i="6"/>
  <c r="BK6" i="6"/>
  <c r="BR39" i="6"/>
  <c r="BS28" i="6"/>
  <c r="BS35" i="6"/>
  <c r="BR18" i="6"/>
  <c r="BU7" i="6"/>
  <c r="BS14" i="6"/>
  <c r="BN30" i="6"/>
  <c r="BK30" i="6"/>
  <c r="BK16" i="6"/>
  <c r="BJ42" i="6"/>
  <c r="BK2" i="6"/>
  <c r="BJ14" i="6"/>
  <c r="BR41" i="6"/>
  <c r="BR27" i="6"/>
  <c r="BR34" i="6"/>
  <c r="BU16" i="6"/>
  <c r="BQ21" i="6"/>
  <c r="BL22" i="6"/>
  <c r="BR4" i="6"/>
  <c r="BL35" i="6"/>
  <c r="BL15" i="6"/>
  <c r="BM18" i="6"/>
  <c r="BM4" i="6"/>
  <c r="BN14" i="6"/>
  <c r="BN9" i="6"/>
  <c r="BU37" i="6"/>
  <c r="BU23" i="6"/>
  <c r="BU30" i="6"/>
  <c r="BS21" i="6"/>
  <c r="BK25" i="6"/>
  <c r="BJ28" i="6"/>
  <c r="BS7" i="6"/>
  <c r="BQ14" i="6"/>
  <c r="BK32" i="6"/>
  <c r="BK18" i="6"/>
  <c r="BL21" i="6"/>
  <c r="BN42" i="6"/>
  <c r="BN7" i="6"/>
  <c r="BK13" i="6"/>
  <c r="BM11" i="6"/>
  <c r="BU42" i="6"/>
  <c r="BU28" i="6"/>
  <c r="BU35" i="6"/>
  <c r="BR20" i="6"/>
  <c r="BU2" i="6"/>
  <c r="BU9" i="6"/>
  <c r="BL29" i="6"/>
  <c r="BK41" i="6"/>
  <c r="BM39" i="6"/>
  <c r="BL1" i="6"/>
  <c r="BK9" i="6"/>
  <c r="BT39" i="6"/>
  <c r="BT25" i="6"/>
  <c r="BT32" i="6"/>
  <c r="BR16" i="6"/>
  <c r="BR2" i="6"/>
  <c r="BR6" i="6"/>
  <c r="BR13" i="6"/>
  <c r="BJ35" i="6"/>
  <c r="BN21" i="6"/>
  <c r="BN37" i="6"/>
  <c r="BK37" i="6"/>
  <c r="BK4" i="6"/>
  <c r="BL8" i="6"/>
  <c r="BR37" i="6"/>
  <c r="BR23" i="6"/>
  <c r="BR30" i="6"/>
  <c r="BU21" i="6"/>
  <c r="BN23" i="6"/>
  <c r="BM25" i="6"/>
  <c r="BQ7" i="6"/>
  <c r="BT11" i="6"/>
  <c r="BU14" i="6"/>
  <c r="BJ21" i="6"/>
  <c r="BL42" i="6"/>
  <c r="BJ7" i="6"/>
  <c r="BK11" i="6"/>
  <c r="BS36" i="6"/>
  <c r="BQ42" i="6"/>
  <c r="BR25" i="6"/>
  <c r="BQ28" i="6"/>
  <c r="BR32" i="6"/>
  <c r="BQ35" i="6"/>
  <c r="BT18" i="6"/>
  <c r="BB21" i="6"/>
  <c r="AY21" i="6"/>
  <c r="BC41" i="6"/>
  <c r="BC30" i="6"/>
  <c r="AW42" i="6"/>
  <c r="AY23" i="6"/>
  <c r="BC37" i="6"/>
  <c r="AY30" i="6"/>
  <c r="BC34" i="6"/>
  <c r="AW36" i="6"/>
  <c r="AV39" i="6"/>
  <c r="BC16" i="6"/>
  <c r="AU28" i="6"/>
  <c r="AU21" i="6"/>
  <c r="BF23" i="6"/>
  <c r="BE39" i="6"/>
  <c r="BC32" i="6"/>
  <c r="BD28" i="6"/>
  <c r="AV37" i="6"/>
  <c r="BC20" i="6"/>
  <c r="AW21" i="6"/>
  <c r="AV34" i="6"/>
  <c r="AU35" i="6"/>
  <c r="BD35" i="6"/>
  <c r="AX39" i="6"/>
  <c r="BD15" i="6"/>
  <c r="AV27" i="6"/>
  <c r="AV20" i="6"/>
  <c r="BB28" i="6"/>
  <c r="BF42" i="6"/>
  <c r="BD36" i="6"/>
  <c r="AW35" i="6"/>
  <c r="AX32" i="6"/>
  <c r="AW29" i="6"/>
  <c r="BB35" i="6"/>
  <c r="BF21" i="6"/>
  <c r="BD21" i="6"/>
  <c r="AW28" i="6"/>
  <c r="AW22" i="6"/>
  <c r="AW15" i="6"/>
  <c r="BD22" i="6"/>
  <c r="BC23" i="6"/>
  <c r="BB42" i="6"/>
  <c r="AV41" i="6"/>
  <c r="AV30" i="6"/>
  <c r="AV23" i="6"/>
  <c r="AV32" i="6"/>
  <c r="BF30" i="6"/>
  <c r="AU42" i="6"/>
  <c r="BF16" i="6"/>
  <c r="AX25" i="6"/>
  <c r="AY28" i="6"/>
  <c r="AX18" i="6"/>
  <c r="BF28" i="6"/>
  <c r="BC25" i="6"/>
  <c r="BC39" i="6"/>
  <c r="BD29" i="6"/>
  <c r="AY16" i="6"/>
  <c r="AY42" i="6"/>
  <c r="BE18" i="6"/>
  <c r="AV16" i="6"/>
  <c r="BC27" i="6"/>
  <c r="BD42" i="6"/>
  <c r="AY35" i="6"/>
  <c r="BF35" i="6"/>
  <c r="BE32" i="6"/>
  <c r="AY37" i="6"/>
  <c r="BC18" i="6"/>
  <c r="AV25" i="6"/>
  <c r="AV18" i="6"/>
  <c r="BE25" i="6"/>
  <c r="BF37" i="6"/>
  <c r="K1" i="6"/>
  <c r="D1" i="6"/>
  <c r="B1" i="6" s="1"/>
  <c r="J2" i="6"/>
  <c r="F7" i="6"/>
  <c r="CL34" i="4"/>
  <c r="CQ30" i="4"/>
  <c r="CQ40" i="4"/>
  <c r="CO30" i="4"/>
  <c r="CS30" i="4"/>
  <c r="CS39" i="4"/>
  <c r="CT34" i="4"/>
  <c r="CM20" i="4"/>
  <c r="CN31" i="4"/>
  <c r="CT31" i="4"/>
  <c r="CO38" i="4"/>
  <c r="CM17" i="4"/>
  <c r="CP18" i="4"/>
  <c r="CN32" i="4"/>
  <c r="CM23" i="4"/>
  <c r="CU12" i="4"/>
  <c r="CR12" i="4"/>
  <c r="CM13" i="4"/>
  <c r="CT22" i="4"/>
  <c r="CM22" i="4"/>
  <c r="CL24" i="4"/>
  <c r="CM25" i="4"/>
  <c r="CR15" i="4"/>
  <c r="CU4" i="4"/>
  <c r="CR4" i="4"/>
  <c r="CP28" i="4"/>
  <c r="CQ35" i="4"/>
  <c r="CU35" i="4"/>
  <c r="CS8" i="4"/>
  <c r="CU7" i="4"/>
  <c r="CM21" i="4"/>
  <c r="CP36" i="4"/>
  <c r="CR11" i="4"/>
  <c r="CU14" i="4"/>
  <c r="CR14" i="4"/>
  <c r="CM3" i="4"/>
  <c r="CO27" i="4"/>
  <c r="CU26" i="4"/>
  <c r="CR37" i="4"/>
  <c r="CP37" i="4"/>
  <c r="CU5" i="4"/>
  <c r="CM10" i="4"/>
  <c r="CU6" i="4"/>
  <c r="CR6" i="4"/>
  <c r="CT29" i="4"/>
  <c r="CS29" i="4"/>
  <c r="CL33" i="4"/>
  <c r="CU33" i="4"/>
  <c r="CS16" i="4"/>
  <c r="CU19" i="4"/>
  <c r="CR9" i="4"/>
  <c r="CP39" i="4"/>
  <c r="CR40" i="4"/>
  <c r="CP40" i="4"/>
  <c r="CU30" i="4"/>
  <c r="CN30" i="4"/>
  <c r="CM39" i="4"/>
  <c r="CS34" i="4"/>
  <c r="CT20" i="4"/>
  <c r="CU31" i="4"/>
  <c r="CO31" i="4"/>
  <c r="CQ38" i="4"/>
  <c r="CT17" i="4"/>
  <c r="CL18" i="4"/>
  <c r="CR32" i="4"/>
  <c r="CR23" i="4"/>
  <c r="CQ12" i="4"/>
  <c r="CN12" i="4"/>
  <c r="CT13" i="4"/>
  <c r="CR22" i="4"/>
  <c r="CL22" i="4"/>
  <c r="CQ24" i="4"/>
  <c r="CR25" i="4"/>
  <c r="CN15" i="4"/>
  <c r="CQ4" i="4"/>
  <c r="CN4" i="4"/>
  <c r="CU28" i="4"/>
  <c r="CP35" i="4"/>
  <c r="CL35" i="4"/>
  <c r="CO8" i="4"/>
  <c r="CQ7" i="4"/>
  <c r="CT21" i="4"/>
  <c r="CO36" i="4"/>
  <c r="CN11" i="4"/>
  <c r="CQ14" i="4"/>
  <c r="CN14" i="4"/>
  <c r="CT3" i="4"/>
  <c r="CN27" i="4"/>
  <c r="CO26" i="4"/>
  <c r="CO37" i="4"/>
  <c r="CL37" i="4"/>
  <c r="CQ5" i="4"/>
  <c r="CT10" i="4"/>
  <c r="CQ6" i="4"/>
  <c r="CN6" i="4"/>
  <c r="CR29" i="4"/>
  <c r="CM29" i="4"/>
  <c r="CQ33" i="4"/>
  <c r="CP33" i="4"/>
  <c r="CO16" i="4"/>
  <c r="CQ19" i="4"/>
  <c r="CN9" i="4"/>
  <c r="CS40" i="4"/>
  <c r="CU40" i="4"/>
  <c r="CT30" i="4"/>
  <c r="CR39" i="4"/>
  <c r="CR34" i="4"/>
  <c r="CN34" i="4"/>
  <c r="CP20" i="4"/>
  <c r="CP31" i="4"/>
  <c r="CP38" i="4"/>
  <c r="CS17" i="4"/>
  <c r="CP17" i="4"/>
  <c r="CS18" i="4"/>
  <c r="CM32" i="4"/>
  <c r="CQ23" i="4"/>
  <c r="CM12" i="4"/>
  <c r="CS13" i="4"/>
  <c r="CP13" i="4"/>
  <c r="CQ22" i="4"/>
  <c r="CP24" i="4"/>
  <c r="CU24" i="4"/>
  <c r="CQ25" i="4"/>
  <c r="CU15" i="4"/>
  <c r="CM4" i="4"/>
  <c r="CO28" i="4"/>
  <c r="CM35" i="4"/>
  <c r="CU8" i="4"/>
  <c r="CR8" i="4"/>
  <c r="CM7" i="4"/>
  <c r="CS21" i="4"/>
  <c r="CP21" i="4"/>
  <c r="CL36" i="4"/>
  <c r="CU11" i="4"/>
  <c r="CM14" i="4"/>
  <c r="CS3" i="4"/>
  <c r="CP3" i="4"/>
  <c r="CS27" i="4"/>
  <c r="CT26" i="4"/>
  <c r="CU37" i="4"/>
  <c r="CM5" i="4"/>
  <c r="CP10" i="4"/>
  <c r="CM6" i="4"/>
  <c r="CO29" i="4"/>
  <c r="CT33" i="4"/>
  <c r="CU16" i="4"/>
  <c r="CR16" i="4"/>
  <c r="CM19" i="4"/>
  <c r="CU9" i="4"/>
  <c r="CO40" i="4"/>
  <c r="CR30" i="4"/>
  <c r="CT39" i="4"/>
  <c r="CM34" i="4"/>
  <c r="CQ34" i="4"/>
  <c r="CL20" i="4"/>
  <c r="CS31" i="4"/>
  <c r="CM38" i="4"/>
  <c r="CO17" i="4"/>
  <c r="CL17" i="4"/>
  <c r="CO18" i="4"/>
  <c r="CL32" i="4"/>
  <c r="CL23" i="4"/>
  <c r="CT12" i="4"/>
  <c r="CO13" i="4"/>
  <c r="CL13" i="4"/>
  <c r="CP22" i="4"/>
  <c r="CT24" i="4"/>
  <c r="CO24" i="4"/>
  <c r="CL25" i="4"/>
  <c r="CQ15" i="4"/>
  <c r="CT4" i="4"/>
  <c r="CT28" i="4"/>
  <c r="CT35" i="4"/>
  <c r="CQ8" i="4"/>
  <c r="CN8" i="4"/>
  <c r="CT7" i="4"/>
  <c r="CO21" i="4"/>
  <c r="CL21" i="4"/>
  <c r="CS36" i="4"/>
  <c r="CQ11" i="4"/>
  <c r="CT14" i="4"/>
  <c r="CO3" i="4"/>
  <c r="CL3" i="4"/>
  <c r="CM27" i="4"/>
  <c r="CS26" i="4"/>
  <c r="CN37" i="4"/>
  <c r="CT5" i="4"/>
  <c r="CL10" i="4"/>
  <c r="CT6" i="4"/>
  <c r="CN29" i="4"/>
  <c r="CO33" i="4"/>
  <c r="CQ16" i="4"/>
  <c r="CN16" i="4"/>
  <c r="CT19" i="4"/>
  <c r="CQ9" i="4"/>
  <c r="CM30" i="4"/>
  <c r="CM31" i="4"/>
  <c r="CR38" i="4"/>
  <c r="CR17" i="4"/>
  <c r="CU18" i="4"/>
  <c r="CR18" i="4"/>
  <c r="CT32" i="4"/>
  <c r="CU32" i="4"/>
  <c r="CU23" i="4"/>
  <c r="CP12" i="4"/>
  <c r="CR13" i="4"/>
  <c r="CU22" i="4"/>
  <c r="CS24" i="4"/>
  <c r="CT25" i="4"/>
  <c r="CU25" i="4"/>
  <c r="CM15" i="4"/>
  <c r="CP4" i="4"/>
  <c r="CS28" i="4"/>
  <c r="CR28" i="4"/>
  <c r="CO35" i="4"/>
  <c r="CM8" i="4"/>
  <c r="CS7" i="4"/>
  <c r="CP7" i="4"/>
  <c r="CR21" i="4"/>
  <c r="CN36" i="4"/>
  <c r="CM11" i="4"/>
  <c r="CP14" i="4"/>
  <c r="CR3" i="4"/>
  <c r="CR27" i="4"/>
  <c r="CQ27" i="4"/>
  <c r="CN26" i="4"/>
  <c r="CS37" i="4"/>
  <c r="CS5" i="4"/>
  <c r="CP5" i="4"/>
  <c r="CS10" i="4"/>
  <c r="CP6" i="4"/>
  <c r="CQ29" i="4"/>
  <c r="CN33" i="4"/>
  <c r="CM16" i="4"/>
  <c r="CS19" i="4"/>
  <c r="CP19" i="4"/>
  <c r="CM9" i="4"/>
  <c r="CS20" i="4"/>
  <c r="CL38" i="4"/>
  <c r="CL40" i="4"/>
  <c r="CL30" i="4"/>
  <c r="CQ39" i="4"/>
  <c r="CL39" i="4"/>
  <c r="CP34" i="4"/>
  <c r="CO20" i="4"/>
  <c r="CR31" i="4"/>
  <c r="CU38" i="4"/>
  <c r="CN38" i="4"/>
  <c r="CN17" i="4"/>
  <c r="CQ18" i="4"/>
  <c r="CN18" i="4"/>
  <c r="CQ32" i="4"/>
  <c r="CO32" i="4"/>
  <c r="CP23" i="4"/>
  <c r="CL12" i="4"/>
  <c r="CN13" i="4"/>
  <c r="CO22" i="4"/>
  <c r="CN24" i="4"/>
  <c r="CO25" i="4"/>
  <c r="CP25" i="4"/>
  <c r="CT15" i="4"/>
  <c r="CL4" i="4"/>
  <c r="CN28" i="4"/>
  <c r="CM28" i="4"/>
  <c r="CS35" i="4"/>
  <c r="CT8" i="4"/>
  <c r="CO7" i="4"/>
  <c r="CL7" i="4"/>
  <c r="CN21" i="4"/>
  <c r="CR36" i="4"/>
  <c r="CT11" i="4"/>
  <c r="CL14" i="4"/>
  <c r="CN3" i="4"/>
  <c r="CU27" i="4"/>
  <c r="CL27" i="4"/>
  <c r="CR26" i="4"/>
  <c r="CM37" i="4"/>
  <c r="CO5" i="4"/>
  <c r="CL5" i="4"/>
  <c r="CO10" i="4"/>
  <c r="CL6" i="4"/>
  <c r="CL29" i="4"/>
  <c r="CS33" i="4"/>
  <c r="CT16" i="4"/>
  <c r="CO19" i="4"/>
  <c r="CL19" i="4"/>
  <c r="CT9" i="4"/>
  <c r="CO39" i="4"/>
  <c r="CT40" i="4"/>
  <c r="CU34" i="4"/>
  <c r="CU20" i="4"/>
  <c r="CR20" i="4"/>
  <c r="CQ31" i="4"/>
  <c r="CT38" i="4"/>
  <c r="CU17" i="4"/>
  <c r="CM18" i="4"/>
  <c r="CP32" i="4"/>
  <c r="CN23" i="4"/>
  <c r="CT23" i="4"/>
  <c r="CS12" i="4"/>
  <c r="CU13" i="4"/>
  <c r="CS22" i="4"/>
  <c r="CR24" i="4"/>
  <c r="CN25" i="4"/>
  <c r="CS15" i="4"/>
  <c r="CP15" i="4"/>
  <c r="CS4" i="4"/>
  <c r="CL28" i="4"/>
  <c r="CN35" i="4"/>
  <c r="CP8" i="4"/>
  <c r="CR7" i="4"/>
  <c r="CU21" i="4"/>
  <c r="CU36" i="4"/>
  <c r="CM36" i="4"/>
  <c r="CS11" i="4"/>
  <c r="CP11" i="4"/>
  <c r="CS14" i="4"/>
  <c r="CU3" i="4"/>
  <c r="CP27" i="4"/>
  <c r="CP26" i="4"/>
  <c r="CM26" i="4"/>
  <c r="CQ37" i="4"/>
  <c r="CR5" i="4"/>
  <c r="CU10" i="4"/>
  <c r="CR10" i="4"/>
  <c r="CS6" i="4"/>
  <c r="CU29" i="4"/>
  <c r="CM33" i="4"/>
  <c r="CP16" i="4"/>
  <c r="CR19" i="4"/>
  <c r="CS9" i="4"/>
  <c r="CP9" i="4"/>
  <c r="CU39" i="4"/>
  <c r="CM40" i="4"/>
  <c r="CN40" i="4"/>
  <c r="CP30" i="4"/>
  <c r="CN39" i="4"/>
  <c r="CO34" i="4"/>
  <c r="CQ20" i="4"/>
  <c r="CN20" i="4"/>
  <c r="CL31" i="4"/>
  <c r="CS38" i="4"/>
  <c r="CQ17" i="4"/>
  <c r="CT18" i="4"/>
  <c r="CS32" i="4"/>
  <c r="CS23" i="4"/>
  <c r="CO23" i="4"/>
  <c r="CO12" i="4"/>
  <c r="CQ13" i="4"/>
  <c r="CN22" i="4"/>
  <c r="CM24" i="4"/>
  <c r="CS25" i="4"/>
  <c r="CO15" i="4"/>
  <c r="CL15" i="4"/>
  <c r="CO4" i="4"/>
  <c r="CQ28" i="4"/>
  <c r="CR35" i="4"/>
  <c r="CL8" i="4"/>
  <c r="CN7" i="4"/>
  <c r="CQ21" i="4"/>
  <c r="CQ36" i="4"/>
  <c r="CT36" i="4"/>
  <c r="CO11" i="4"/>
  <c r="CL11" i="4"/>
  <c r="CO14" i="4"/>
  <c r="CQ3" i="4"/>
  <c r="CT27" i="4"/>
  <c r="CL26" i="4"/>
  <c r="CQ26" i="4"/>
  <c r="CT37" i="4"/>
  <c r="CN5" i="4"/>
  <c r="CQ10" i="4"/>
  <c r="CN10" i="4"/>
  <c r="CO6" i="4"/>
  <c r="CP29" i="4"/>
  <c r="CR33" i="4"/>
  <c r="CL16" i="4"/>
  <c r="CN19" i="4"/>
  <c r="CO9" i="4"/>
  <c r="CL9" i="4"/>
  <c r="CS2" i="4"/>
  <c r="CR2" i="4"/>
  <c r="CN2" i="4"/>
  <c r="CP2" i="4"/>
  <c r="CU2" i="4"/>
  <c r="CQ2" i="4"/>
  <c r="CO2" i="4"/>
  <c r="CT2" i="4"/>
  <c r="CT1" i="4"/>
  <c r="CQ1" i="4"/>
  <c r="CM1" i="4"/>
  <c r="CP1" i="4"/>
  <c r="CN1" i="4"/>
  <c r="CS1" i="4"/>
  <c r="CO1" i="4"/>
  <c r="CR1" i="4"/>
  <c r="CJ102" i="4" a="1"/>
  <c r="CJ102" i="4" s="1"/>
  <c r="CI102" i="4" s="1"/>
  <c r="CJ103" i="4" a="1"/>
  <c r="CJ103" i="4" s="1"/>
  <c r="CI103" i="4" s="1"/>
  <c r="BZ105" i="4"/>
  <c r="CB104" i="4"/>
  <c r="CC104" i="4"/>
  <c r="BV15" i="4"/>
  <c r="BU55" i="4"/>
  <c r="BT52" i="4"/>
  <c r="BS55" i="4"/>
  <c r="BR52" i="4"/>
  <c r="BR55" i="4"/>
  <c r="BQ56" i="4"/>
  <c r="BQ55" i="4"/>
  <c r="BR50" i="4"/>
  <c r="BQ51" i="4" a="1"/>
  <c r="BQ51" i="4" s="1"/>
  <c r="BV51" i="4"/>
  <c r="BK15" i="4"/>
  <c r="BN16" i="4" a="1"/>
  <c r="BN16" i="4" s="1"/>
  <c r="BM60" i="4" a="1"/>
  <c r="BM60" i="4" s="1"/>
  <c r="BN20" i="4"/>
  <c r="BM17" i="4"/>
  <c r="BL20" i="4"/>
  <c r="BM18" i="4" a="1"/>
  <c r="BM18" i="4" s="1"/>
  <c r="BK17" i="4"/>
  <c r="BK20" i="4"/>
  <c r="BJ20" i="4"/>
  <c r="BK18" i="4" a="1"/>
  <c r="BK18" i="4" s="1"/>
  <c r="AV9" i="6" a="1"/>
  <c r="BD14" i="6" a="1"/>
  <c r="AY9" i="6" a="1"/>
  <c r="AV13" i="6" a="1"/>
  <c r="AY2" i="6" a="1"/>
  <c r="AX11" i="6" a="1"/>
  <c r="AX4" i="6" a="1"/>
  <c r="AW7" i="6" a="1"/>
  <c r="BC9" i="6" a="1"/>
  <c r="BF2" i="6" a="1"/>
  <c r="BE11" i="6" a="1"/>
  <c r="AW1" i="6" a="1"/>
  <c r="AU7" i="6" a="1"/>
  <c r="AW8" i="6" a="1"/>
  <c r="AV4" i="6" a="1"/>
  <c r="BD8" i="6" a="1"/>
  <c r="AV11" i="6" a="1"/>
  <c r="AY7" i="6" a="1"/>
  <c r="BC13" i="6" a="1"/>
  <c r="BC2" i="6" a="1"/>
  <c r="AV2" i="6" a="1"/>
  <c r="AY14" i="6" a="1"/>
  <c r="AU14" i="6" a="1"/>
  <c r="BC11" i="6" a="1"/>
  <c r="BE4" i="6" a="1"/>
  <c r="BC6" i="6" a="1"/>
  <c r="BD7" i="6" a="1"/>
  <c r="BB7" i="6" a="1"/>
  <c r="AV6" i="6" a="1"/>
  <c r="BB14" i="6" a="1"/>
  <c r="BC4" i="6" a="1"/>
  <c r="BD1" i="6" a="1"/>
  <c r="BF7" i="6" a="1"/>
  <c r="BF9" i="6" a="1"/>
  <c r="BF14" i="6" a="1"/>
  <c r="AW14" i="6" a="1"/>
  <c r="AQ42" i="6" a="1"/>
  <c r="AN16" i="6" a="1"/>
  <c r="AP18" i="6" a="1"/>
  <c r="AH28" i="6" a="1"/>
  <c r="AN11" i="6" a="1"/>
  <c r="AM35" i="6" a="1"/>
  <c r="AI32" i="6" a="1"/>
  <c r="AF14" i="6" a="1"/>
  <c r="AP32" i="6" a="1"/>
  <c r="AO28" i="6" a="1"/>
  <c r="AJ7" i="6" a="1"/>
  <c r="AQ2" i="6" a="1"/>
  <c r="AJ14" i="6" a="1"/>
  <c r="AH15" i="6" a="1"/>
  <c r="AQ35" i="6" a="1"/>
  <c r="AN37" i="6" a="1"/>
  <c r="AO42" i="6" a="1"/>
  <c r="AI39" i="6" a="1"/>
  <c r="AG32" i="6" a="1"/>
  <c r="AN34" i="6" a="1"/>
  <c r="AN23" i="6" a="1"/>
  <c r="AI4" i="6" a="1"/>
  <c r="AO7" i="6" a="1"/>
  <c r="AM42" i="6" a="1"/>
  <c r="AQ28" i="6" a="1"/>
  <c r="AH8" i="6" a="1"/>
  <c r="AF35" i="6" a="1"/>
  <c r="AM21" i="6" a="1"/>
  <c r="AH21" i="6" a="1"/>
  <c r="AQ14" i="6" a="1"/>
  <c r="AO36" i="6" a="1"/>
  <c r="AH42" i="6" a="1"/>
  <c r="AG23" i="6" a="1"/>
  <c r="AM14" i="6" a="1"/>
  <c r="AI25" i="6" a="1"/>
  <c r="AJ37" i="6" a="1"/>
  <c r="AH22" i="6" a="1"/>
  <c r="AG41" i="6" a="1"/>
  <c r="AQ23" i="6" a="1"/>
  <c r="AG2" i="6" a="1"/>
  <c r="AQ7" i="6" a="1"/>
  <c r="AF21" i="6" a="1"/>
  <c r="AG39" i="6" a="1"/>
  <c r="AG25" i="6" a="1"/>
  <c r="AJ16" i="6" a="1"/>
  <c r="AN13" i="6" a="1"/>
  <c r="AG27" i="6" a="1"/>
  <c r="AN41" i="6" a="1"/>
  <c r="AO35" i="6" a="1"/>
  <c r="AH29" i="6" a="1"/>
  <c r="AQ21" i="6" a="1"/>
  <c r="AH36" i="6" a="1"/>
  <c r="AG37" i="6" a="1"/>
  <c r="AN20" i="6" a="1"/>
  <c r="AQ9" i="6" a="1"/>
  <c r="AG11" i="6" a="1"/>
  <c r="AJ21" i="6" a="1"/>
  <c r="AH14" i="6" a="1"/>
  <c r="AG18" i="6" a="1"/>
  <c r="AH1" i="6" a="1"/>
  <c r="AH7" i="6" a="1"/>
  <c r="AJ30" i="6" a="1"/>
  <c r="AF42" i="6" a="1"/>
  <c r="AM28" i="6" a="1"/>
  <c r="AP39" i="6" a="1"/>
  <c r="AJ42" i="6" a="1"/>
  <c r="AJ28" i="6" a="1"/>
  <c r="AQ30" i="6" a="1"/>
  <c r="AF28" i="6" a="1"/>
  <c r="AO14" i="6" a="1"/>
  <c r="AQ37" i="6" a="1"/>
  <c r="AN32" i="6" a="1"/>
  <c r="AG4" i="6" a="1"/>
  <c r="AO8" i="6" a="1"/>
  <c r="AN39" i="6" a="1"/>
  <c r="AJ35" i="6" a="1"/>
  <c r="AQ16" i="6" a="1"/>
  <c r="AJ9" i="6" a="1"/>
  <c r="AG20" i="6" a="1"/>
  <c r="AG9" i="6" a="1"/>
  <c r="AG13" i="6" a="1"/>
  <c r="AI18" i="6" a="1"/>
  <c r="AN9" i="6" a="1"/>
  <c r="AJ2" i="6" a="1"/>
  <c r="AN4" i="6" a="1"/>
  <c r="AG30" i="6" a="1"/>
  <c r="AN18" i="6" a="1"/>
  <c r="AF7" i="6" a="1"/>
  <c r="AO1" i="6" a="1"/>
  <c r="AG34" i="6" a="1"/>
  <c r="AO29" i="6" a="1"/>
  <c r="AJ23" i="6" a="1"/>
  <c r="AN27" i="6" a="1"/>
  <c r="AG6" i="6" a="1"/>
  <c r="AG16" i="6" a="1"/>
  <c r="AO21" i="6" a="1"/>
  <c r="AH35" i="6" a="1"/>
  <c r="AN30" i="6" a="1"/>
  <c r="AO22" i="6" a="1"/>
  <c r="AM7" i="6" a="1"/>
  <c r="AI11" i="6" a="1"/>
  <c r="AO15" i="6" a="1"/>
  <c r="AN25" i="6" a="1"/>
  <c r="AN2" i="6" a="1"/>
  <c r="AP4" i="6" a="1"/>
  <c r="AP25" i="6" a="1"/>
  <c r="AN6" i="6" a="1"/>
  <c r="AP11" i="6" a="1"/>
  <c r="R34" i="6" a="1"/>
  <c r="U23" i="6" a="1"/>
  <c r="Z35" i="6" a="1"/>
  <c r="Y6" i="6" a="1"/>
  <c r="Z28" i="6" a="1"/>
  <c r="Y13" i="6" a="1"/>
  <c r="R9" i="6" a="1"/>
  <c r="Q28" i="6" a="1"/>
  <c r="AB16" i="6" a="1"/>
  <c r="AB28" i="6" a="1"/>
  <c r="S42" i="6" a="1"/>
  <c r="AA25" i="6" a="1"/>
  <c r="R16" i="6" a="1"/>
  <c r="Y30" i="6" a="1"/>
  <c r="T39" i="6" a="1"/>
  <c r="U14" i="6" a="1"/>
  <c r="R32" i="6" a="1"/>
  <c r="R23" i="6" a="1"/>
  <c r="U42" i="6" a="1"/>
  <c r="R25" i="6" a="1"/>
  <c r="Z14" i="6" a="1"/>
  <c r="Y27" i="6" a="1"/>
  <c r="AB23" i="6" a="1"/>
  <c r="Y18" i="6" a="1"/>
  <c r="Z36" i="6" a="1"/>
  <c r="S7" i="6" a="1"/>
  <c r="AA4" i="6" a="1"/>
  <c r="T25" i="6" a="1"/>
  <c r="Y25" i="6" a="1"/>
  <c r="S1" i="6" a="1"/>
  <c r="Z7" i="6" a="1"/>
  <c r="S14" i="6" a="1"/>
  <c r="U30" i="6" a="1"/>
  <c r="U7" i="6" a="1"/>
  <c r="X7" i="6" a="1"/>
  <c r="T4" i="6" a="1"/>
  <c r="Y34" i="6" a="1"/>
  <c r="AB2" i="6" a="1"/>
  <c r="Q7" i="6" a="1"/>
  <c r="Y32" i="6" a="1"/>
  <c r="R6" i="6" a="1"/>
  <c r="Y4" i="6" a="1"/>
  <c r="X28" i="6" a="1"/>
  <c r="R39" i="6" a="1"/>
  <c r="S22" i="6" a="1"/>
  <c r="X35" i="6" a="1"/>
  <c r="R37" i="6" a="1"/>
  <c r="R13" i="6" a="1"/>
  <c r="R30" i="6" a="1"/>
  <c r="S21" i="6" a="1"/>
  <c r="Z29" i="6" a="1"/>
  <c r="R4" i="6" a="1"/>
  <c r="Y2" i="6" a="1"/>
  <c r="S15" i="6" a="1"/>
  <c r="Z42" i="6" a="1"/>
  <c r="R20" i="6" a="1"/>
  <c r="AB35" i="6" a="1"/>
  <c r="U21" i="6" a="1"/>
  <c r="Y41" i="6" a="1"/>
  <c r="T18" i="6" a="1"/>
  <c r="Y37" i="6" a="1"/>
  <c r="Y23" i="6" a="1"/>
  <c r="Z15" i="6" a="1"/>
  <c r="AA39" i="6" a="1"/>
  <c r="Q21" i="6" a="1"/>
  <c r="AA32" i="6" a="1"/>
  <c r="AA11" i="6" a="1"/>
  <c r="AB21" i="6" a="1"/>
  <c r="X42" i="6" a="1"/>
  <c r="U2" i="6" a="1"/>
  <c r="Z1" i="6" a="1"/>
  <c r="Y16" i="6" a="1"/>
  <c r="U35" i="6" a="1"/>
  <c r="Z21" i="6" a="1"/>
  <c r="T32" i="6" a="1"/>
  <c r="X14" i="6" a="1"/>
  <c r="R18" i="6" a="1"/>
  <c r="Y39" i="6" a="1"/>
  <c r="AB9" i="6" a="1"/>
  <c r="Y20" i="6" a="1"/>
  <c r="U16" i="6" a="1"/>
  <c r="Q14" i="6" a="1"/>
  <c r="Y11" i="6" a="1"/>
  <c r="Z8" i="6" a="1"/>
  <c r="R2" i="6" a="1"/>
  <c r="AB7" i="6" a="1"/>
  <c r="U28" i="6" a="1"/>
  <c r="R41" i="6" a="1"/>
  <c r="U9" i="6" a="1"/>
  <c r="S35" i="6" a="1"/>
  <c r="X21" i="6" a="1"/>
  <c r="AB42" i="6" a="1"/>
  <c r="AB14" i="6" a="1"/>
  <c r="S36" i="6" a="1"/>
  <c r="T11" i="6" a="1"/>
  <c r="S29" i="6" a="1"/>
  <c r="S28" i="6" a="1"/>
  <c r="Y9" i="6" a="1"/>
  <c r="AA18" i="6" a="1"/>
  <c r="AB37" i="6" a="1"/>
  <c r="U37" i="6" a="1"/>
  <c r="R11" i="6" a="1"/>
  <c r="R27" i="6" a="1"/>
  <c r="Q42" i="6" a="1"/>
  <c r="S8" i="6" a="1"/>
  <c r="Q35" i="6" a="1"/>
  <c r="Z22" i="6" a="1"/>
  <c r="AB30" i="6" a="1"/>
  <c r="K8" i="6" a="1"/>
  <c r="D8" i="6" a="1"/>
  <c r="J37" i="6" a="1"/>
  <c r="J39" i="6" a="1"/>
  <c r="C37" i="6" a="1"/>
  <c r="F42" i="6" a="1"/>
  <c r="K36" i="6" a="1"/>
  <c r="M42" i="6" a="1"/>
  <c r="B42" i="6" a="1"/>
  <c r="J41" i="6" a="1"/>
  <c r="C41" i="6" a="1"/>
  <c r="L39" i="6" a="1"/>
  <c r="K42" i="6" a="1"/>
  <c r="D42" i="6" a="1"/>
  <c r="M37" i="6" a="1"/>
  <c r="F37" i="6" a="1"/>
  <c r="E39" i="6" a="1"/>
  <c r="I42" i="6" a="1"/>
  <c r="C39" i="6" a="1"/>
  <c r="D36" i="6" a="1"/>
  <c r="J30" i="6" a="1"/>
  <c r="C34" i="6" a="1"/>
  <c r="E32" i="6" a="1"/>
  <c r="B35" i="6" a="1"/>
  <c r="D35" i="6" a="1"/>
  <c r="K29" i="6" a="1"/>
  <c r="M35" i="6" a="1"/>
  <c r="C32" i="6" a="1"/>
  <c r="L32" i="6" a="1"/>
  <c r="D29" i="6" a="1"/>
  <c r="K35" i="6" a="1"/>
  <c r="F35" i="6" a="1"/>
  <c r="C30" i="6" a="1"/>
  <c r="J34" i="6" a="1"/>
  <c r="M30" i="6" a="1"/>
  <c r="F30" i="6" a="1"/>
  <c r="J32" i="6" a="1"/>
  <c r="I35" i="6" a="1"/>
  <c r="I28" i="6" a="1"/>
  <c r="F28" i="6" a="1"/>
  <c r="J25" i="6" a="1"/>
  <c r="K22" i="6" a="1"/>
  <c r="M28" i="6" a="1"/>
  <c r="L25" i="6" a="1"/>
  <c r="J23" i="6" a="1"/>
  <c r="E25" i="6" a="1"/>
  <c r="J27" i="6" a="1"/>
  <c r="B28" i="6" a="1"/>
  <c r="C23" i="6" a="1"/>
  <c r="C25" i="6" a="1"/>
  <c r="K28" i="6" a="1"/>
  <c r="M23" i="6" a="1"/>
  <c r="D22" i="6" a="1"/>
  <c r="C27" i="6" a="1"/>
  <c r="F23" i="6" a="1"/>
  <c r="D28" i="6" a="1"/>
  <c r="M16" i="6" a="1"/>
  <c r="J16" i="6" a="1"/>
  <c r="J18" i="6" a="1"/>
  <c r="D15" i="6" a="1"/>
  <c r="F21" i="6" a="1"/>
  <c r="K15" i="6" a="1"/>
  <c r="M21" i="6" a="1"/>
  <c r="D21" i="6" a="1"/>
  <c r="C20" i="6" a="1"/>
  <c r="F16" i="6" a="1"/>
  <c r="L18" i="6" a="1"/>
  <c r="I21" i="6" a="1"/>
  <c r="J20" i="6" a="1"/>
  <c r="E18" i="6" a="1"/>
  <c r="B21" i="6" a="1"/>
  <c r="C16" i="6" a="1"/>
  <c r="K21" i="6" a="1"/>
  <c r="C18" i="6" a="1"/>
  <c r="M14" i="6" a="1"/>
  <c r="J13" i="6" a="1"/>
  <c r="L11" i="6" a="1"/>
  <c r="K14" i="6" a="1"/>
  <c r="I14" i="6" a="1"/>
  <c r="M9" i="6" a="1"/>
  <c r="J11" i="6" a="1"/>
  <c r="J9" i="6" a="1"/>
  <c r="F14" i="6" a="1"/>
  <c r="E11" i="6" a="1"/>
  <c r="D14" i="6" a="1"/>
  <c r="C13" i="6" a="1"/>
  <c r="B14" i="6" a="1"/>
  <c r="C11" i="6" a="1"/>
  <c r="F9" i="6" a="1"/>
  <c r="C9" i="6" a="1"/>
  <c r="M2" i="6" a="1"/>
  <c r="J4" i="6" a="1"/>
  <c r="M7" i="6" a="1"/>
  <c r="L4" i="6" a="1"/>
  <c r="K7" i="6" a="1"/>
  <c r="I7" i="6" a="1"/>
  <c r="J6" i="6" a="1"/>
  <c r="D7" i="6" a="1"/>
  <c r="B7" i="6" a="1"/>
  <c r="C6" i="6" a="1"/>
  <c r="E4" i="6" a="1"/>
  <c r="C4" i="6" a="1"/>
  <c r="F2" i="6" a="1"/>
  <c r="C2" i="6" a="1"/>
  <c r="CD105" i="4" a="1"/>
  <c r="CD106" i="4" a="1"/>
  <c r="BY105" i="4" a="1"/>
  <c r="CE105" i="4" a="1"/>
  <c r="CC105" i="4" a="1"/>
  <c r="CB105" i="4" a="1"/>
  <c r="CF104" i="4" a="1"/>
  <c r="BY104" i="4" a="1"/>
  <c r="CE104" i="4" a="1"/>
  <c r="BK58" i="4" a="1"/>
  <c r="BJ1" i="6" l="1"/>
  <c r="BK3" i="6"/>
  <c r="BL6" i="6"/>
  <c r="BJ6" i="6"/>
  <c r="BM3" i="6"/>
  <c r="BN6" i="6"/>
  <c r="BM24" i="6"/>
  <c r="BJ22" i="6"/>
  <c r="BN27" i="6"/>
  <c r="BK24" i="6"/>
  <c r="BJ27" i="6"/>
  <c r="BL27" i="6"/>
  <c r="BU6" i="6"/>
  <c r="BQ1" i="6"/>
  <c r="BQ6" i="6"/>
  <c r="BS6" i="6"/>
  <c r="BT3" i="6"/>
  <c r="BR3" i="6"/>
  <c r="BJ13" i="6"/>
  <c r="BK10" i="6"/>
  <c r="BN13" i="6"/>
  <c r="BL13" i="6"/>
  <c r="BM10" i="6"/>
  <c r="BJ8" i="6"/>
  <c r="BM31" i="6"/>
  <c r="BJ29" i="6"/>
  <c r="BN34" i="6"/>
  <c r="BK31" i="6"/>
  <c r="BL34" i="6"/>
  <c r="BJ34" i="6"/>
  <c r="BM38" i="6"/>
  <c r="BJ36" i="6"/>
  <c r="BN41" i="6"/>
  <c r="BK38" i="6"/>
  <c r="BL41" i="6"/>
  <c r="BJ41" i="6"/>
  <c r="BS20" i="6"/>
  <c r="BT17" i="6"/>
  <c r="BU20" i="6"/>
  <c r="BR17" i="6"/>
  <c r="BQ20" i="6"/>
  <c r="BQ15" i="6"/>
  <c r="BQ41" i="6"/>
  <c r="BR38" i="6"/>
  <c r="BS41" i="6"/>
  <c r="BT38" i="6"/>
  <c r="BU41" i="6"/>
  <c r="BQ36" i="6"/>
  <c r="BR31" i="6"/>
  <c r="BQ34" i="6"/>
  <c r="BU34" i="6"/>
  <c r="BS34" i="6"/>
  <c r="BT31" i="6"/>
  <c r="BQ29" i="6"/>
  <c r="BJ20" i="6"/>
  <c r="BM17" i="6"/>
  <c r="BJ15" i="6"/>
  <c r="BN20" i="6"/>
  <c r="BK17" i="6"/>
  <c r="BL20" i="6"/>
  <c r="BT24" i="6"/>
  <c r="BR24" i="6"/>
  <c r="BU27" i="6"/>
  <c r="BQ27" i="6"/>
  <c r="BQ22" i="6"/>
  <c r="BS27" i="6"/>
  <c r="BU13" i="6"/>
  <c r="BQ8" i="6"/>
  <c r="BS13" i="6"/>
  <c r="BT10" i="6"/>
  <c r="BR10" i="6"/>
  <c r="BQ13" i="6"/>
  <c r="AW14" i="6"/>
  <c r="BF14" i="6"/>
  <c r="BF9" i="6"/>
  <c r="BF7" i="6"/>
  <c r="BD1" i="6"/>
  <c r="BC4" i="6"/>
  <c r="BB14" i="6"/>
  <c r="AV6" i="6"/>
  <c r="BB7" i="6"/>
  <c r="BD7" i="6"/>
  <c r="BC6" i="6"/>
  <c r="BE4" i="6"/>
  <c r="BC11" i="6"/>
  <c r="AU14" i="6"/>
  <c r="AY14" i="6"/>
  <c r="AV2" i="6"/>
  <c r="BC2" i="6"/>
  <c r="BC13" i="6"/>
  <c r="AY7" i="6"/>
  <c r="AV11" i="6"/>
  <c r="BD8" i="6"/>
  <c r="AV4" i="6"/>
  <c r="AW8" i="6"/>
  <c r="AU7" i="6"/>
  <c r="AW1" i="6"/>
  <c r="BE11" i="6"/>
  <c r="BF2" i="6"/>
  <c r="BC9" i="6"/>
  <c r="AW7" i="6"/>
  <c r="AX4" i="6"/>
  <c r="AX11" i="6"/>
  <c r="AY2" i="6"/>
  <c r="AV13" i="6"/>
  <c r="AY9" i="6"/>
  <c r="BD14" i="6"/>
  <c r="AV9" i="6"/>
  <c r="AX24" i="6"/>
  <c r="AU22" i="6"/>
  <c r="AU27" i="6"/>
  <c r="AY27" i="6"/>
  <c r="AV24" i="6"/>
  <c r="AW27" i="6"/>
  <c r="BB41" i="6"/>
  <c r="BF41" i="6"/>
  <c r="BB36" i="6"/>
  <c r="BE38" i="6"/>
  <c r="BC38" i="6"/>
  <c r="BD41" i="6"/>
  <c r="AU20" i="6"/>
  <c r="AX17" i="6"/>
  <c r="AU15" i="6"/>
  <c r="AY20" i="6"/>
  <c r="AV17" i="6"/>
  <c r="AW20" i="6"/>
  <c r="AX31" i="6"/>
  <c r="AU29" i="6"/>
  <c r="AY34" i="6"/>
  <c r="AV31" i="6"/>
  <c r="AU34" i="6"/>
  <c r="AW34" i="6"/>
  <c r="BD20" i="6"/>
  <c r="BE17" i="6"/>
  <c r="BC17" i="6"/>
  <c r="BB15" i="6"/>
  <c r="BB20" i="6"/>
  <c r="BF20" i="6"/>
  <c r="AX38" i="6"/>
  <c r="AU36" i="6"/>
  <c r="AY41" i="6"/>
  <c r="AV38" i="6"/>
  <c r="AW41" i="6"/>
  <c r="AU41" i="6"/>
  <c r="BC31" i="6"/>
  <c r="BB34" i="6"/>
  <c r="BD34" i="6"/>
  <c r="BE31" i="6"/>
  <c r="BF34" i="6"/>
  <c r="BB29" i="6"/>
  <c r="BE24" i="6"/>
  <c r="BC24" i="6"/>
  <c r="BB27" i="6"/>
  <c r="BF27" i="6"/>
  <c r="BD27" i="6"/>
  <c r="BB22" i="6"/>
  <c r="AP11" i="6"/>
  <c r="AN6" i="6"/>
  <c r="AP25" i="6"/>
  <c r="AP4" i="6"/>
  <c r="AN2" i="6"/>
  <c r="AN25" i="6"/>
  <c r="AO15" i="6"/>
  <c r="AI11" i="6"/>
  <c r="AM7" i="6"/>
  <c r="AO22" i="6"/>
  <c r="AN30" i="6"/>
  <c r="AH35" i="6"/>
  <c r="AO21" i="6"/>
  <c r="AG16" i="6"/>
  <c r="AG6" i="6"/>
  <c r="AN27" i="6"/>
  <c r="AJ23" i="6"/>
  <c r="AO29" i="6"/>
  <c r="AG34" i="6"/>
  <c r="AO1" i="6"/>
  <c r="AF7" i="6"/>
  <c r="AN18" i="6"/>
  <c r="AG30" i="6"/>
  <c r="AN4" i="6"/>
  <c r="AJ2" i="6"/>
  <c r="AN9" i="6"/>
  <c r="AI18" i="6"/>
  <c r="AG13" i="6"/>
  <c r="AG9" i="6"/>
  <c r="AG20" i="6"/>
  <c r="AJ9" i="6"/>
  <c r="AQ16" i="6"/>
  <c r="AJ35" i="6"/>
  <c r="AN39" i="6"/>
  <c r="AO8" i="6"/>
  <c r="AG4" i="6"/>
  <c r="AN32" i="6"/>
  <c r="AQ37" i="6"/>
  <c r="AO14" i="6"/>
  <c r="AF28" i="6"/>
  <c r="AQ30" i="6"/>
  <c r="AJ28" i="6"/>
  <c r="AJ42" i="6"/>
  <c r="AP39" i="6"/>
  <c r="AM28" i="6"/>
  <c r="AF42" i="6"/>
  <c r="AJ30" i="6"/>
  <c r="AH7" i="6"/>
  <c r="AH1" i="6"/>
  <c r="AG18" i="6"/>
  <c r="AH14" i="6"/>
  <c r="AJ21" i="6"/>
  <c r="AG11" i="6"/>
  <c r="AQ9" i="6"/>
  <c r="AN20" i="6"/>
  <c r="AG37" i="6"/>
  <c r="AH36" i="6"/>
  <c r="AQ21" i="6"/>
  <c r="AH29" i="6"/>
  <c r="AO35" i="6"/>
  <c r="AN41" i="6"/>
  <c r="AG27" i="6"/>
  <c r="AN13" i="6"/>
  <c r="AJ16" i="6"/>
  <c r="AG25" i="6"/>
  <c r="AG39" i="6"/>
  <c r="AF21" i="6"/>
  <c r="AQ7" i="6"/>
  <c r="AG2" i="6"/>
  <c r="AQ23" i="6"/>
  <c r="AG41" i="6"/>
  <c r="AH22" i="6"/>
  <c r="AJ37" i="6"/>
  <c r="AI25" i="6"/>
  <c r="AM14" i="6"/>
  <c r="AG23" i="6"/>
  <c r="AH42" i="6"/>
  <c r="AO36" i="6"/>
  <c r="AQ14" i="6"/>
  <c r="AH21" i="6"/>
  <c r="AM21" i="6"/>
  <c r="AF35" i="6"/>
  <c r="AH8" i="6"/>
  <c r="AQ28" i="6"/>
  <c r="AM42" i="6"/>
  <c r="AO7" i="6"/>
  <c r="AI4" i="6"/>
  <c r="AN23" i="6"/>
  <c r="AN34" i="6"/>
  <c r="AG32" i="6"/>
  <c r="AI39" i="6"/>
  <c r="AO42" i="6"/>
  <c r="AN37" i="6"/>
  <c r="AQ35" i="6"/>
  <c r="AH15" i="6"/>
  <c r="AJ14" i="6"/>
  <c r="AQ2" i="6"/>
  <c r="AJ7" i="6"/>
  <c r="AO28" i="6"/>
  <c r="AP32" i="6"/>
  <c r="AF14" i="6"/>
  <c r="AI32" i="6"/>
  <c r="AM35" i="6"/>
  <c r="AN11" i="6"/>
  <c r="AH28" i="6"/>
  <c r="AP18" i="6"/>
  <c r="AN16" i="6"/>
  <c r="AQ42" i="6"/>
  <c r="AB30" i="6"/>
  <c r="Z22" i="6"/>
  <c r="Q35" i="6"/>
  <c r="S8" i="6"/>
  <c r="Q42" i="6"/>
  <c r="R27" i="6"/>
  <c r="R11" i="6"/>
  <c r="U37" i="6"/>
  <c r="AB37" i="6"/>
  <c r="AA18" i="6"/>
  <c r="Y9" i="6"/>
  <c r="S28" i="6"/>
  <c r="S29" i="6"/>
  <c r="T11" i="6"/>
  <c r="S36" i="6"/>
  <c r="AB14" i="6"/>
  <c r="AB42" i="6"/>
  <c r="X21" i="6"/>
  <c r="S35" i="6"/>
  <c r="U9" i="6"/>
  <c r="R41" i="6"/>
  <c r="U28" i="6"/>
  <c r="AB7" i="6"/>
  <c r="R2" i="6"/>
  <c r="Z8" i="6"/>
  <c r="Y11" i="6"/>
  <c r="Q14" i="6"/>
  <c r="U16" i="6"/>
  <c r="Y20" i="6"/>
  <c r="AB9" i="6"/>
  <c r="Y39" i="6"/>
  <c r="R18" i="6"/>
  <c r="X14" i="6"/>
  <c r="T32" i="6"/>
  <c r="Z21" i="6"/>
  <c r="U35" i="6"/>
  <c r="Y16" i="6"/>
  <c r="Z1" i="6"/>
  <c r="U2" i="6"/>
  <c r="X42" i="6"/>
  <c r="AB21" i="6"/>
  <c r="AA11" i="6"/>
  <c r="AA32" i="6"/>
  <c r="Q21" i="6"/>
  <c r="AA39" i="6"/>
  <c r="Z15" i="6"/>
  <c r="Y23" i="6"/>
  <c r="Y37" i="6"/>
  <c r="T18" i="6"/>
  <c r="Y41" i="6"/>
  <c r="U21" i="6"/>
  <c r="AB35" i="6"/>
  <c r="R20" i="6"/>
  <c r="Z42" i="6"/>
  <c r="S15" i="6"/>
  <c r="Y2" i="6"/>
  <c r="R4" i="6"/>
  <c r="Z29" i="6"/>
  <c r="S21" i="6"/>
  <c r="R30" i="6"/>
  <c r="R13" i="6"/>
  <c r="R37" i="6"/>
  <c r="X35" i="6"/>
  <c r="S22" i="6"/>
  <c r="R39" i="6"/>
  <c r="X28" i="6"/>
  <c r="Y4" i="6"/>
  <c r="R6" i="6"/>
  <c r="Y32" i="6"/>
  <c r="Q7" i="6"/>
  <c r="AB2" i="6"/>
  <c r="Y34" i="6"/>
  <c r="T4" i="6"/>
  <c r="X7" i="6"/>
  <c r="U7" i="6"/>
  <c r="U30" i="6"/>
  <c r="S14" i="6"/>
  <c r="Z7" i="6"/>
  <c r="S1" i="6"/>
  <c r="Y25" i="6"/>
  <c r="T25" i="6"/>
  <c r="AA4" i="6"/>
  <c r="S7" i="6"/>
  <c r="Z36" i="6"/>
  <c r="Y18" i="6"/>
  <c r="AB23" i="6"/>
  <c r="Y27" i="6"/>
  <c r="Z14" i="6"/>
  <c r="R25" i="6"/>
  <c r="U42" i="6"/>
  <c r="R23" i="6"/>
  <c r="R32" i="6"/>
  <c r="U14" i="6"/>
  <c r="T39" i="6"/>
  <c r="Y30" i="6"/>
  <c r="R16" i="6"/>
  <c r="AA25" i="6"/>
  <c r="S42" i="6"/>
  <c r="AB28" i="6"/>
  <c r="AB16" i="6"/>
  <c r="Q28" i="6"/>
  <c r="R9" i="6"/>
  <c r="Y13" i="6"/>
  <c r="Z28" i="6"/>
  <c r="Y6" i="6"/>
  <c r="Z35" i="6"/>
  <c r="U23" i="6"/>
  <c r="R34" i="6"/>
  <c r="K8" i="6"/>
  <c r="I8" i="6" s="1"/>
  <c r="D8" i="6"/>
  <c r="D36" i="6"/>
  <c r="C39" i="6"/>
  <c r="I42" i="6"/>
  <c r="E39" i="6"/>
  <c r="F37" i="6"/>
  <c r="M37" i="6"/>
  <c r="D42" i="6"/>
  <c r="K42" i="6"/>
  <c r="L39" i="6"/>
  <c r="C41" i="6"/>
  <c r="J41" i="6"/>
  <c r="B42" i="6"/>
  <c r="M42" i="6"/>
  <c r="K36" i="6"/>
  <c r="F42" i="6"/>
  <c r="C37" i="6"/>
  <c r="J39" i="6"/>
  <c r="J37" i="6"/>
  <c r="I35" i="6"/>
  <c r="J32" i="6"/>
  <c r="F30" i="6"/>
  <c r="M30" i="6"/>
  <c r="J34" i="6"/>
  <c r="C30" i="6"/>
  <c r="F35" i="6"/>
  <c r="K35" i="6"/>
  <c r="D29" i="6"/>
  <c r="L32" i="6"/>
  <c r="C32" i="6"/>
  <c r="M35" i="6"/>
  <c r="K29" i="6"/>
  <c r="D35" i="6"/>
  <c r="B35" i="6"/>
  <c r="E32" i="6"/>
  <c r="C34" i="6"/>
  <c r="J30" i="6"/>
  <c r="D28" i="6"/>
  <c r="F23" i="6"/>
  <c r="C27" i="6"/>
  <c r="D22" i="6"/>
  <c r="M23" i="6"/>
  <c r="K28" i="6"/>
  <c r="C25" i="6"/>
  <c r="C23" i="6"/>
  <c r="B28" i="6"/>
  <c r="J27" i="6"/>
  <c r="E25" i="6"/>
  <c r="J23" i="6"/>
  <c r="L25" i="6"/>
  <c r="M28" i="6"/>
  <c r="K22" i="6"/>
  <c r="J25" i="6"/>
  <c r="F28" i="6"/>
  <c r="I28" i="6"/>
  <c r="C18" i="6"/>
  <c r="K21" i="6"/>
  <c r="C16" i="6"/>
  <c r="B21" i="6"/>
  <c r="E18" i="6"/>
  <c r="J20" i="6"/>
  <c r="I21" i="6"/>
  <c r="L18" i="6"/>
  <c r="F16" i="6"/>
  <c r="C20" i="6"/>
  <c r="D21" i="6"/>
  <c r="M21" i="6"/>
  <c r="K15" i="6"/>
  <c r="F21" i="6"/>
  <c r="D15" i="6"/>
  <c r="J18" i="6"/>
  <c r="J16" i="6"/>
  <c r="M16" i="6"/>
  <c r="J9" i="6"/>
  <c r="J11" i="6"/>
  <c r="M9" i="6"/>
  <c r="I14" i="6"/>
  <c r="K14" i="6"/>
  <c r="L11" i="6"/>
  <c r="J13" i="6"/>
  <c r="M14" i="6"/>
  <c r="C9" i="6"/>
  <c r="F9" i="6"/>
  <c r="C11" i="6"/>
  <c r="B14" i="6"/>
  <c r="C13" i="6"/>
  <c r="D14" i="6"/>
  <c r="E11" i="6"/>
  <c r="F14" i="6"/>
  <c r="M6" i="6"/>
  <c r="K6" i="6"/>
  <c r="I6" i="6"/>
  <c r="L3" i="6"/>
  <c r="J3" i="6"/>
  <c r="I1" i="6"/>
  <c r="J6" i="6"/>
  <c r="I7" i="6"/>
  <c r="K7" i="6"/>
  <c r="L4" i="6"/>
  <c r="M7" i="6"/>
  <c r="J4" i="6"/>
  <c r="M2" i="6"/>
  <c r="D7" i="6"/>
  <c r="B7" i="6"/>
  <c r="C6" i="6"/>
  <c r="E4" i="6"/>
  <c r="C4" i="6"/>
  <c r="F2" i="6"/>
  <c r="D6" i="6"/>
  <c r="F6" i="6"/>
  <c r="B6" i="6"/>
  <c r="C3" i="6"/>
  <c r="E3" i="6"/>
  <c r="C2" i="6"/>
  <c r="CB105" i="4"/>
  <c r="CC105" i="4"/>
  <c r="CE105" i="4"/>
  <c r="BY105" i="4"/>
  <c r="CD106" i="4"/>
  <c r="CD105" i="4"/>
  <c r="BJ16" i="4" a="1"/>
  <c r="BJ16" i="4" s="1"/>
  <c r="CE104" i="4"/>
  <c r="BY104" i="4"/>
  <c r="CF104" i="4"/>
  <c r="BS56" i="4"/>
  <c r="BU56" i="4" a="1"/>
  <c r="BU56" i="4" s="1"/>
  <c r="BT51" i="4"/>
  <c r="BK58" i="4"/>
  <c r="BN21" i="4"/>
  <c r="BO16" i="4"/>
  <c r="BM16" i="4"/>
  <c r="BJ21" i="4"/>
  <c r="BL21" i="4"/>
  <c r="BI22" i="4" a="1"/>
  <c r="BI22" i="4" s="1"/>
  <c r="BZ106" i="4" a="1"/>
  <c r="CH105" i="4" a="1"/>
  <c r="CA105" i="4" a="1"/>
  <c r="CF105" i="4" a="1"/>
  <c r="CG105" i="4" a="1"/>
  <c r="CH104" i="4" a="1"/>
  <c r="CA104" i="4" a="1"/>
  <c r="CG104" i="4" a="1"/>
  <c r="BR16" i="4" a="1"/>
  <c r="BJ22" i="4" a="1"/>
  <c r="BQ17" i="4" a="1"/>
  <c r="BQ57" i="4" a="1"/>
  <c r="AU13" i="6" l="1"/>
  <c r="AW13" i="6"/>
  <c r="AX10" i="6"/>
  <c r="AU8" i="6"/>
  <c r="AY13" i="6"/>
  <c r="AV10" i="6"/>
  <c r="BF13" i="6"/>
  <c r="BB8" i="6"/>
  <c r="BD13" i="6"/>
  <c r="BE10" i="6"/>
  <c r="BC10" i="6"/>
  <c r="BB13" i="6"/>
  <c r="BF6" i="6"/>
  <c r="BB1" i="6"/>
  <c r="BD6" i="6"/>
  <c r="BE3" i="6"/>
  <c r="BC3" i="6"/>
  <c r="BB6" i="6"/>
  <c r="AU6" i="6"/>
  <c r="AY6" i="6"/>
  <c r="AW6" i="6"/>
  <c r="AV3" i="6"/>
  <c r="AX3" i="6"/>
  <c r="AU1" i="6"/>
  <c r="AI38" i="6"/>
  <c r="AF36" i="6"/>
  <c r="AJ41" i="6"/>
  <c r="AG38" i="6"/>
  <c r="AH41" i="6"/>
  <c r="AF41" i="6"/>
  <c r="AF6" i="6"/>
  <c r="AH6" i="6"/>
  <c r="AI3" i="6"/>
  <c r="AF1" i="6"/>
  <c r="AJ6" i="6"/>
  <c r="AG3" i="6"/>
  <c r="AF27" i="6"/>
  <c r="AI24" i="6"/>
  <c r="AF22" i="6"/>
  <c r="AJ27" i="6"/>
  <c r="AG24" i="6"/>
  <c r="AH27" i="6"/>
  <c r="AF20" i="6"/>
  <c r="AI17" i="6"/>
  <c r="AF15" i="6"/>
  <c r="AJ20" i="6"/>
  <c r="AG17" i="6"/>
  <c r="AH20" i="6"/>
  <c r="AO20" i="6"/>
  <c r="AM15" i="6"/>
  <c r="AP17" i="6"/>
  <c r="AN17" i="6"/>
  <c r="AQ20" i="6"/>
  <c r="AM20" i="6"/>
  <c r="AM41" i="6"/>
  <c r="AQ41" i="6"/>
  <c r="AM36" i="6"/>
  <c r="AO41" i="6"/>
  <c r="AN38" i="6"/>
  <c r="AP38" i="6"/>
  <c r="AQ6" i="6"/>
  <c r="AM1" i="6"/>
  <c r="AO6" i="6"/>
  <c r="AP3" i="6"/>
  <c r="AN3" i="6"/>
  <c r="AM6" i="6"/>
  <c r="AF13" i="6"/>
  <c r="AI10" i="6"/>
  <c r="AF8" i="6"/>
  <c r="AJ13" i="6"/>
  <c r="AG10" i="6"/>
  <c r="AH13" i="6"/>
  <c r="AI31" i="6"/>
  <c r="AF29" i="6"/>
  <c r="AJ34" i="6"/>
  <c r="AG31" i="6"/>
  <c r="AH34" i="6"/>
  <c r="AF34" i="6"/>
  <c r="AQ13" i="6"/>
  <c r="AM8" i="6"/>
  <c r="AO13" i="6"/>
  <c r="AP10" i="6"/>
  <c r="AN10" i="6"/>
  <c r="AM13" i="6"/>
  <c r="AN31" i="6"/>
  <c r="AP31" i="6"/>
  <c r="AM34" i="6"/>
  <c r="AQ34" i="6"/>
  <c r="AM29" i="6"/>
  <c r="AO34" i="6"/>
  <c r="AP24" i="6"/>
  <c r="AN24" i="6"/>
  <c r="AM27" i="6"/>
  <c r="AQ27" i="6"/>
  <c r="AM22" i="6"/>
  <c r="AO27" i="6"/>
  <c r="T24" i="6"/>
  <c r="Q22" i="6"/>
  <c r="U27" i="6"/>
  <c r="R24" i="6"/>
  <c r="Q27" i="6"/>
  <c r="S27" i="6"/>
  <c r="S6" i="6"/>
  <c r="Q6" i="6"/>
  <c r="T3" i="6"/>
  <c r="Q1" i="6"/>
  <c r="U6" i="6"/>
  <c r="R3" i="6"/>
  <c r="Q20" i="6"/>
  <c r="T17" i="6"/>
  <c r="Q15" i="6"/>
  <c r="U20" i="6"/>
  <c r="R17" i="6"/>
  <c r="S20" i="6"/>
  <c r="T38" i="6"/>
  <c r="Q36" i="6"/>
  <c r="U41" i="6"/>
  <c r="R38" i="6"/>
  <c r="S41" i="6"/>
  <c r="Q41" i="6"/>
  <c r="Z20" i="6"/>
  <c r="AB20" i="6"/>
  <c r="X15" i="6"/>
  <c r="AA17" i="6"/>
  <c r="Y17" i="6"/>
  <c r="X20" i="6"/>
  <c r="AB6" i="6"/>
  <c r="X1" i="6"/>
  <c r="Z6" i="6"/>
  <c r="AA3" i="6"/>
  <c r="Y3" i="6"/>
  <c r="X6" i="6"/>
  <c r="T31" i="6"/>
  <c r="Q29" i="6"/>
  <c r="U34" i="6"/>
  <c r="R31" i="6"/>
  <c r="S34" i="6"/>
  <c r="Q34" i="6"/>
  <c r="X41" i="6"/>
  <c r="Y38" i="6"/>
  <c r="AB41" i="6"/>
  <c r="X36" i="6"/>
  <c r="Z41" i="6"/>
  <c r="AA38" i="6"/>
  <c r="Q13" i="6"/>
  <c r="T10" i="6"/>
  <c r="Q8" i="6"/>
  <c r="U13" i="6"/>
  <c r="R10" i="6"/>
  <c r="S13" i="6"/>
  <c r="Y31" i="6"/>
  <c r="AA31" i="6"/>
  <c r="X34" i="6"/>
  <c r="AB34" i="6"/>
  <c r="X29" i="6"/>
  <c r="Z34" i="6"/>
  <c r="AA24" i="6"/>
  <c r="Y24" i="6"/>
  <c r="X27" i="6"/>
  <c r="Z27" i="6"/>
  <c r="AB27" i="6"/>
  <c r="X22" i="6"/>
  <c r="AB13" i="6"/>
  <c r="X8" i="6"/>
  <c r="Z13" i="6"/>
  <c r="AA10" i="6"/>
  <c r="Y10" i="6"/>
  <c r="X13" i="6"/>
  <c r="E38" i="6"/>
  <c r="B36" i="6"/>
  <c r="F41" i="6"/>
  <c r="C38" i="6"/>
  <c r="D41" i="6"/>
  <c r="B41" i="6"/>
  <c r="I41" i="6"/>
  <c r="M41" i="6"/>
  <c r="I36" i="6"/>
  <c r="K41" i="6"/>
  <c r="L38" i="6"/>
  <c r="J38" i="6"/>
  <c r="I34" i="6"/>
  <c r="J31" i="6"/>
  <c r="M34" i="6"/>
  <c r="I29" i="6"/>
  <c r="K34" i="6"/>
  <c r="L31" i="6"/>
  <c r="E31" i="6"/>
  <c r="B29" i="6"/>
  <c r="F34" i="6"/>
  <c r="C31" i="6"/>
  <c r="D34" i="6"/>
  <c r="B34" i="6"/>
  <c r="I27" i="6"/>
  <c r="L24" i="6"/>
  <c r="M27" i="6"/>
  <c r="I22" i="6"/>
  <c r="K27" i="6"/>
  <c r="J24" i="6"/>
  <c r="E24" i="6"/>
  <c r="B22" i="6"/>
  <c r="F27" i="6"/>
  <c r="C24" i="6"/>
  <c r="D27" i="6"/>
  <c r="B27" i="6"/>
  <c r="I20" i="6"/>
  <c r="J17" i="6"/>
  <c r="M20" i="6"/>
  <c r="I15" i="6"/>
  <c r="K20" i="6"/>
  <c r="L17" i="6"/>
  <c r="E17" i="6"/>
  <c r="B15" i="6"/>
  <c r="F20" i="6"/>
  <c r="C17" i="6"/>
  <c r="D20" i="6"/>
  <c r="B20" i="6"/>
  <c r="J10" i="6"/>
  <c r="I13" i="6"/>
  <c r="M13" i="6"/>
  <c r="K13" i="6"/>
  <c r="L10" i="6"/>
  <c r="C10" i="6"/>
  <c r="B13" i="6"/>
  <c r="E10" i="6"/>
  <c r="B8" i="6"/>
  <c r="F13" i="6"/>
  <c r="D13" i="6"/>
  <c r="CG105" i="4"/>
  <c r="CF105" i="4"/>
  <c r="CA105" i="4"/>
  <c r="CH105" i="4"/>
  <c r="BZ106" i="4"/>
  <c r="CG104" i="4"/>
  <c r="CA104" i="4"/>
  <c r="CH104" i="4"/>
  <c r="BQ57" i="4"/>
  <c r="BQ17" i="4"/>
  <c r="BJ22" i="4"/>
  <c r="BR16" i="4"/>
  <c r="BN58" i="4" a="1"/>
  <c r="BN58" i="4" s="1"/>
  <c r="BK60" i="4" a="1"/>
  <c r="BK60" i="4" s="1"/>
  <c r="BZ107" i="4" a="1"/>
  <c r="CB106" i="4" a="1"/>
  <c r="CC106" i="4" a="1"/>
  <c r="BO22" i="4" a="1"/>
  <c r="CJ105" i="4" l="1" a="1"/>
  <c r="CJ105" i="4" s="1"/>
  <c r="CI105" i="4" s="1"/>
  <c r="CJ104" i="4" a="1"/>
  <c r="CJ104" i="4" s="1"/>
  <c r="CI104" i="4" s="1"/>
  <c r="CC106" i="4"/>
  <c r="CB106" i="4"/>
  <c r="BZ107" i="4"/>
  <c r="BO22" i="4"/>
  <c r="BO58" i="4"/>
  <c r="BU20" i="4"/>
  <c r="BT17" i="4"/>
  <c r="BS20" i="4"/>
  <c r="BT18" i="4" a="1"/>
  <c r="BT18" i="4" s="1"/>
  <c r="BR17" i="4"/>
  <c r="BR20" i="4"/>
  <c r="BU16" i="4" a="1"/>
  <c r="BU16" i="4" s="1"/>
  <c r="BR15" i="4"/>
  <c r="BQ20" i="4"/>
  <c r="BR18" i="4" a="1"/>
  <c r="BR18" i="4" s="1"/>
  <c r="BT60" i="4" a="1"/>
  <c r="BT60" i="4" s="1"/>
  <c r="BM59" i="4"/>
  <c r="BK59" i="4"/>
  <c r="BN62" i="4"/>
  <c r="BL62" i="4"/>
  <c r="BK62" i="4"/>
  <c r="BJ63" i="4"/>
  <c r="BJ62" i="4"/>
  <c r="BK57" i="4"/>
  <c r="BJ58" i="4" a="1"/>
  <c r="BJ58" i="4" s="1"/>
  <c r="CD107" i="4" a="1"/>
  <c r="CE107" i="4" a="1"/>
  <c r="BY107" i="4" a="1"/>
  <c r="CE106" i="4" a="1"/>
  <c r="CF106" i="4" a="1"/>
  <c r="CD108" i="4" a="1"/>
  <c r="CB107" i="4" a="1"/>
  <c r="CC107" i="4" a="1"/>
  <c r="BY106" i="4" a="1"/>
  <c r="BR58" i="4" a="1"/>
  <c r="BY106" i="4" l="1"/>
  <c r="CC107" i="4"/>
  <c r="CB107" i="4"/>
  <c r="CD108" i="4"/>
  <c r="CF106" i="4"/>
  <c r="CE106" i="4"/>
  <c r="BY107" i="4"/>
  <c r="CE107" i="4"/>
  <c r="CD107" i="4"/>
  <c r="BN63" i="4" a="1"/>
  <c r="BN63" i="4" s="1"/>
  <c r="BQ16" i="4" a="1"/>
  <c r="BQ16" i="4" s="1"/>
  <c r="BL63" i="4"/>
  <c r="BR58" i="4"/>
  <c r="BS21" i="4"/>
  <c r="BQ21" i="4"/>
  <c r="BU21" i="4"/>
  <c r="BM58" i="4"/>
  <c r="BV16" i="4"/>
  <c r="BT16" i="4"/>
  <c r="BP22" i="4" a="1"/>
  <c r="BP22" i="4" s="1"/>
  <c r="CG106" i="4" a="1"/>
  <c r="BZ108" i="4" a="1"/>
  <c r="CG107" i="4" a="1"/>
  <c r="CF107" i="4" a="1"/>
  <c r="CH107" i="4" a="1"/>
  <c r="CA106" i="4" a="1"/>
  <c r="CH106" i="4" a="1"/>
  <c r="CA107" i="4" a="1"/>
  <c r="BQ22" i="4" a="1"/>
  <c r="BJ64" i="4" a="1"/>
  <c r="BJ24" i="4" a="1"/>
  <c r="BK23" i="4" a="1"/>
  <c r="CA107" i="4" l="1"/>
  <c r="CH106" i="4"/>
  <c r="CA106" i="4"/>
  <c r="CH107" i="4"/>
  <c r="CF107" i="4"/>
  <c r="CG107" i="4"/>
  <c r="BZ108" i="4"/>
  <c r="CG106" i="4"/>
  <c r="BK23" i="4"/>
  <c r="BJ24" i="4"/>
  <c r="BJ64" i="4"/>
  <c r="BQ22" i="4"/>
  <c r="BR60" i="4" a="1"/>
  <c r="BR60" i="4" s="1"/>
  <c r="BU58" i="4" a="1"/>
  <c r="BU58" i="4" s="1"/>
  <c r="BZ109" i="4" a="1"/>
  <c r="CC108" i="4" a="1"/>
  <c r="CB108" i="4" a="1"/>
  <c r="BV22" i="4" a="1"/>
  <c r="CJ107" i="4" l="1" a="1"/>
  <c r="CJ107" i="4" s="1"/>
  <c r="CI107" i="4" s="1"/>
  <c r="CJ106" i="4" a="1"/>
  <c r="CJ106" i="4" s="1"/>
  <c r="CI106" i="4" s="1"/>
  <c r="BZ109" i="4"/>
  <c r="CB108" i="4"/>
  <c r="CC108" i="4"/>
  <c r="BV22" i="4"/>
  <c r="BR62" i="4"/>
  <c r="BQ63" i="4"/>
  <c r="BQ62" i="4"/>
  <c r="BR57" i="4"/>
  <c r="BT59" i="4"/>
  <c r="BS62" i="4"/>
  <c r="BR59" i="4"/>
  <c r="BU62" i="4"/>
  <c r="BQ58" i="4" a="1"/>
  <c r="BQ58" i="4" s="1"/>
  <c r="BV58" i="4"/>
  <c r="BN23" i="4" a="1"/>
  <c r="BN23" i="4" s="1"/>
  <c r="BM67" i="4" a="1"/>
  <c r="BM67" i="4" s="1"/>
  <c r="BN27" i="4"/>
  <c r="BM24" i="4"/>
  <c r="BL27" i="4"/>
  <c r="BM25" i="4" a="1"/>
  <c r="BM25" i="4" s="1"/>
  <c r="BK24" i="4"/>
  <c r="BK27" i="4"/>
  <c r="BJ27" i="4"/>
  <c r="BK25" i="4" a="1"/>
  <c r="BK25" i="4" s="1"/>
  <c r="BK22" i="4"/>
  <c r="BY109" i="4" a="1"/>
  <c r="CD109" i="4" a="1"/>
  <c r="CB109" i="4" a="1"/>
  <c r="CE109" i="4" a="1"/>
  <c r="CD110" i="4" a="1"/>
  <c r="CC109" i="4" a="1"/>
  <c r="CE108" i="4" a="1"/>
  <c r="CF108" i="4" a="1"/>
  <c r="BY108" i="4" a="1"/>
  <c r="BK65" i="4" a="1"/>
  <c r="CC109" i="4" l="1"/>
  <c r="CD110" i="4"/>
  <c r="CE109" i="4"/>
  <c r="CB109" i="4"/>
  <c r="CD109" i="4"/>
  <c r="BY109" i="4"/>
  <c r="BY108" i="4"/>
  <c r="CF108" i="4"/>
  <c r="CE108" i="4"/>
  <c r="BU63" i="4" a="1"/>
  <c r="BU63" i="4" s="1"/>
  <c r="BS63" i="4"/>
  <c r="BK65" i="4"/>
  <c r="BM23" i="4"/>
  <c r="BO23" i="4"/>
  <c r="BL28" i="4"/>
  <c r="BJ28" i="4"/>
  <c r="BI29" i="4" a="1"/>
  <c r="BI29" i="4" s="1"/>
  <c r="BJ23" i="4" a="1"/>
  <c r="BJ23" i="4" s="1"/>
  <c r="BT58" i="4"/>
  <c r="BN28" i="4"/>
  <c r="CA109" i="4" a="1"/>
  <c r="CF109" i="4" a="1"/>
  <c r="BZ110" i="4" a="1"/>
  <c r="CH109" i="4" a="1"/>
  <c r="CG109" i="4" a="1"/>
  <c r="CH108" i="4" a="1"/>
  <c r="CG108" i="4" a="1"/>
  <c r="CA108" i="4" a="1"/>
  <c r="BQ24" i="4" a="1"/>
  <c r="BQ64" i="4" a="1"/>
  <c r="BR23" i="4" a="1"/>
  <c r="BJ29" i="4" a="1"/>
  <c r="CG109" i="4" l="1"/>
  <c r="CH109" i="4"/>
  <c r="BZ110" i="4"/>
  <c r="CF109" i="4"/>
  <c r="CA109" i="4"/>
  <c r="CA108" i="4"/>
  <c r="CG108" i="4"/>
  <c r="CH108" i="4"/>
  <c r="BJ29" i="4"/>
  <c r="BR23" i="4"/>
  <c r="BQ64" i="4"/>
  <c r="BQ24" i="4"/>
  <c r="BN65" i="4" a="1"/>
  <c r="BN65" i="4" s="1"/>
  <c r="BK67" i="4" a="1"/>
  <c r="BK67" i="4" s="1"/>
  <c r="BZ111" i="4" a="1"/>
  <c r="CB110" i="4" a="1"/>
  <c r="CC110" i="4" a="1"/>
  <c r="BO29" i="4" a="1"/>
  <c r="CJ108" i="4" l="1" a="1"/>
  <c r="CJ108" i="4" s="1"/>
  <c r="CI108" i="4" s="1"/>
  <c r="CJ109" i="4" a="1"/>
  <c r="CJ109" i="4" s="1"/>
  <c r="CI109" i="4" s="1"/>
  <c r="CC110" i="4"/>
  <c r="CB110" i="4"/>
  <c r="BZ111" i="4"/>
  <c r="BO29" i="4"/>
  <c r="BN69" i="4"/>
  <c r="BL69" i="4"/>
  <c r="BK69" i="4"/>
  <c r="BJ70" i="4"/>
  <c r="BJ69" i="4"/>
  <c r="BK64" i="4"/>
  <c r="BK66" i="4"/>
  <c r="BM66" i="4"/>
  <c r="BJ65" i="4" a="1"/>
  <c r="BJ65" i="4" s="1"/>
  <c r="BO65" i="4"/>
  <c r="BR27" i="4"/>
  <c r="BU23" i="4" a="1"/>
  <c r="BU23" i="4" s="1"/>
  <c r="BR22" i="4"/>
  <c r="BQ27" i="4"/>
  <c r="BR25" i="4" a="1"/>
  <c r="BR25" i="4" s="1"/>
  <c r="BT67" i="4" a="1"/>
  <c r="BT67" i="4" s="1"/>
  <c r="BU27" i="4"/>
  <c r="BS27" i="4"/>
  <c r="BT25" i="4" a="1"/>
  <c r="BT25" i="4" s="1"/>
  <c r="BT24" i="4"/>
  <c r="BR24" i="4"/>
  <c r="BY111" i="4" a="1"/>
  <c r="CD112" i="4" a="1"/>
  <c r="CE110" i="4" a="1"/>
  <c r="CB111" i="4" a="1"/>
  <c r="BY110" i="4" a="1"/>
  <c r="CD111" i="4" a="1"/>
  <c r="CC111" i="4" a="1"/>
  <c r="CF110" i="4" a="1"/>
  <c r="CE111" i="4" a="1"/>
  <c r="BR65" i="4" a="1"/>
  <c r="CE111" i="4" l="1"/>
  <c r="CF110" i="4"/>
  <c r="CC111" i="4"/>
  <c r="CD111" i="4"/>
  <c r="BY110" i="4"/>
  <c r="CB111" i="4"/>
  <c r="CE110" i="4"/>
  <c r="CD112" i="4"/>
  <c r="BY111" i="4"/>
  <c r="BQ23" i="4" a="1"/>
  <c r="BQ23" i="4" s="1"/>
  <c r="BN70" i="4" a="1"/>
  <c r="BN70" i="4" s="1"/>
  <c r="BL70" i="4"/>
  <c r="BR65" i="4"/>
  <c r="BM65" i="4"/>
  <c r="BS28" i="4"/>
  <c r="BQ28" i="4"/>
  <c r="BU28" i="4"/>
  <c r="BT23" i="4"/>
  <c r="BV23" i="4"/>
  <c r="BP29" i="4" a="1"/>
  <c r="BP29" i="4" s="1"/>
  <c r="CH111" i="4" a="1"/>
  <c r="CA111" i="4" a="1"/>
  <c r="CG110" i="4" a="1"/>
  <c r="CH110" i="4" a="1"/>
  <c r="CG111" i="4" a="1"/>
  <c r="CF111" i="4" a="1"/>
  <c r="BZ112" i="4" a="1"/>
  <c r="CA110" i="4" a="1"/>
  <c r="BJ71" i="4" a="1"/>
  <c r="BJ31" i="4" a="1"/>
  <c r="BQ29" i="4" a="1"/>
  <c r="BK30" i="4" a="1"/>
  <c r="CA110" i="4" l="1"/>
  <c r="BZ112" i="4"/>
  <c r="CF111" i="4"/>
  <c r="CG111" i="4"/>
  <c r="CH110" i="4"/>
  <c r="CG110" i="4"/>
  <c r="CA111" i="4"/>
  <c r="CH111" i="4"/>
  <c r="BK30" i="4"/>
  <c r="BQ29" i="4"/>
  <c r="BJ31" i="4"/>
  <c r="BJ71" i="4"/>
  <c r="BU65" i="4" a="1"/>
  <c r="BU65" i="4" s="1"/>
  <c r="BR67" i="4" a="1"/>
  <c r="BR67" i="4" s="1"/>
  <c r="BZ113" i="4" a="1"/>
  <c r="CB112" i="4" a="1"/>
  <c r="CC112" i="4" a="1"/>
  <c r="BV29" i="4" a="1"/>
  <c r="CJ111" i="4" l="1" a="1"/>
  <c r="CJ111" i="4" s="1"/>
  <c r="CI111" i="4" s="1"/>
  <c r="CJ110" i="4" a="1"/>
  <c r="CJ110" i="4" s="1"/>
  <c r="CI110" i="4" s="1"/>
  <c r="BZ113" i="4"/>
  <c r="CC112" i="4"/>
  <c r="CB112" i="4"/>
  <c r="BV29" i="4"/>
  <c r="BV65" i="4"/>
  <c r="BR64" i="4"/>
  <c r="BU69" i="4"/>
  <c r="BT66" i="4"/>
  <c r="BS69" i="4"/>
  <c r="BR66" i="4"/>
  <c r="BR69" i="4"/>
  <c r="BQ70" i="4"/>
  <c r="BQ69" i="4"/>
  <c r="BQ65" i="4" a="1"/>
  <c r="BQ65" i="4" s="1"/>
  <c r="BN34" i="4"/>
  <c r="BM31" i="4"/>
  <c r="BL34" i="4"/>
  <c r="BM32" i="4" a="1"/>
  <c r="BM32" i="4" s="1"/>
  <c r="BK31" i="4"/>
  <c r="BK34" i="4"/>
  <c r="BJ34" i="4"/>
  <c r="BK32" i="4" a="1"/>
  <c r="BK32" i="4" s="1"/>
  <c r="BK29" i="4"/>
  <c r="BM74" i="4" a="1"/>
  <c r="BM74" i="4" s="1"/>
  <c r="BN30" i="4" a="1"/>
  <c r="BN30" i="4" s="1"/>
  <c r="CD113" i="4" a="1"/>
  <c r="CE113" i="4" a="1"/>
  <c r="CC113" i="4" a="1"/>
  <c r="BY113" i="4" a="1"/>
  <c r="CD114" i="4" a="1"/>
  <c r="CB113" i="4" a="1"/>
  <c r="CE112" i="4" a="1"/>
  <c r="BY112" i="4" a="1"/>
  <c r="CF112" i="4" a="1"/>
  <c r="BK72" i="4" a="1"/>
  <c r="CB113" i="4" l="1"/>
  <c r="CD114" i="4"/>
  <c r="BY113" i="4"/>
  <c r="CC113" i="4"/>
  <c r="CE113" i="4"/>
  <c r="CD113" i="4"/>
  <c r="BJ30" i="4" a="1"/>
  <c r="BJ30" i="4" s="1"/>
  <c r="CF112" i="4"/>
  <c r="BY112" i="4"/>
  <c r="CE112" i="4"/>
  <c r="BU70" i="4" a="1"/>
  <c r="BU70" i="4" s="1"/>
  <c r="BS70" i="4"/>
  <c r="BK72" i="4"/>
  <c r="BN35" i="4"/>
  <c r="BT65" i="4"/>
  <c r="BL35" i="4"/>
  <c r="BJ35" i="4"/>
  <c r="BO30" i="4"/>
  <c r="BM30" i="4"/>
  <c r="BI36" i="4" a="1"/>
  <c r="BI36" i="4" s="1"/>
  <c r="CA113" i="4" a="1"/>
  <c r="CF113" i="4" a="1"/>
  <c r="BZ114" i="4" a="1"/>
  <c r="CH113" i="4" a="1"/>
  <c r="CG113" i="4" a="1"/>
  <c r="CH112" i="4" a="1"/>
  <c r="CA112" i="4" a="1"/>
  <c r="CG112" i="4" a="1"/>
  <c r="BQ31" i="4" a="1"/>
  <c r="BR30" i="4" a="1"/>
  <c r="BJ36" i="4" a="1"/>
  <c r="BQ71" i="4" a="1"/>
  <c r="CG113" i="4" l="1"/>
  <c r="CH113" i="4"/>
  <c r="BZ114" i="4"/>
  <c r="CF113" i="4"/>
  <c r="CA113" i="4"/>
  <c r="CG112" i="4"/>
  <c r="CA112" i="4"/>
  <c r="CH112" i="4"/>
  <c r="BQ71" i="4"/>
  <c r="BJ36" i="4"/>
  <c r="BR30" i="4"/>
  <c r="BQ31" i="4"/>
  <c r="BN72" i="4" a="1"/>
  <c r="BN72" i="4" s="1"/>
  <c r="BK74" i="4" a="1"/>
  <c r="BK74" i="4" s="1"/>
  <c r="BZ115" i="4" a="1"/>
  <c r="CB114" i="4" a="1"/>
  <c r="CC114" i="4" a="1"/>
  <c r="BO36" i="4" a="1"/>
  <c r="CJ112" i="4" l="1" a="1"/>
  <c r="CJ112" i="4" s="1"/>
  <c r="CI112" i="4" s="1"/>
  <c r="CJ113" i="4" a="1"/>
  <c r="CJ113" i="4" s="1"/>
  <c r="CI113" i="4" s="1"/>
  <c r="CC114" i="4"/>
  <c r="CB114" i="4"/>
  <c r="BZ115" i="4"/>
  <c r="BO36" i="4"/>
  <c r="BK76" i="4"/>
  <c r="BJ77" i="4"/>
  <c r="BJ76" i="4"/>
  <c r="BK71" i="4"/>
  <c r="BM73" i="4"/>
  <c r="BK73" i="4"/>
  <c r="BN76" i="4"/>
  <c r="BL76" i="4"/>
  <c r="BJ72" i="4" a="1"/>
  <c r="BJ72" i="4" s="1"/>
  <c r="BT74" i="4" a="1"/>
  <c r="BT74" i="4" s="1"/>
  <c r="BU34" i="4"/>
  <c r="BT31" i="4"/>
  <c r="BS34" i="4"/>
  <c r="BT32" i="4" a="1"/>
  <c r="BT32" i="4" s="1"/>
  <c r="BR31" i="4"/>
  <c r="BU30" i="4" a="1"/>
  <c r="BU30" i="4" s="1"/>
  <c r="BR34" i="4"/>
  <c r="BQ34" i="4"/>
  <c r="BR29" i="4"/>
  <c r="BR32" i="4" a="1"/>
  <c r="BR32" i="4" s="1"/>
  <c r="BO72" i="4"/>
  <c r="CD115" i="4" a="1"/>
  <c r="CE114" i="4" a="1"/>
  <c r="CE115" i="4" a="1"/>
  <c r="BY114" i="4" a="1"/>
  <c r="CB115" i="4" a="1"/>
  <c r="CD116" i="4" a="1"/>
  <c r="BY115" i="4" a="1"/>
  <c r="CF114" i="4" a="1"/>
  <c r="CC115" i="4" a="1"/>
  <c r="BR72" i="4" a="1"/>
  <c r="CC115" i="4" l="1"/>
  <c r="CF114" i="4"/>
  <c r="BY115" i="4"/>
  <c r="CD116" i="4"/>
  <c r="CB115" i="4"/>
  <c r="BY114" i="4"/>
  <c r="CE115" i="4"/>
  <c r="CE114" i="4"/>
  <c r="CD115" i="4"/>
  <c r="BN77" i="4" a="1"/>
  <c r="BN77" i="4" s="1"/>
  <c r="BL77" i="4"/>
  <c r="BM72" i="4"/>
  <c r="BR72" i="4"/>
  <c r="BU35" i="4"/>
  <c r="BQ35" i="4"/>
  <c r="BS35" i="4"/>
  <c r="BV30" i="4"/>
  <c r="BT30" i="4"/>
  <c r="BQ30" i="4" a="1"/>
  <c r="BQ30" i="4" s="1"/>
  <c r="BP36" i="4" a="1"/>
  <c r="BP36" i="4" s="1"/>
  <c r="CH114" i="4" a="1"/>
  <c r="CA115" i="4" a="1"/>
  <c r="CA114" i="4" a="1"/>
  <c r="CG114" i="4" a="1"/>
  <c r="BZ116" i="4" a="1"/>
  <c r="CH115" i="4" a="1"/>
  <c r="CG115" i="4" a="1"/>
  <c r="CF115" i="4" a="1"/>
  <c r="BJ78" i="4" a="1"/>
  <c r="BJ38" i="4" a="1"/>
  <c r="BK37" i="4" a="1"/>
  <c r="BQ36" i="4" a="1"/>
  <c r="CF115" i="4" l="1"/>
  <c r="CG115" i="4"/>
  <c r="CH115" i="4"/>
  <c r="BZ116" i="4"/>
  <c r="CG114" i="4"/>
  <c r="CA114" i="4"/>
  <c r="CA115" i="4"/>
  <c r="CH114" i="4"/>
  <c r="BQ36" i="4"/>
  <c r="BK37" i="4"/>
  <c r="BJ38" i="4"/>
  <c r="BJ78" i="4"/>
  <c r="BU72" i="4" a="1"/>
  <c r="BU72" i="4" s="1"/>
  <c r="BR74" i="4" a="1"/>
  <c r="BR74" i="4" s="1"/>
  <c r="BZ117" i="4" a="1"/>
  <c r="CB116" i="4" a="1"/>
  <c r="CC116" i="4" a="1"/>
  <c r="BV36" i="4" a="1"/>
  <c r="CJ115" i="4" l="1" a="1"/>
  <c r="CJ115" i="4" s="1"/>
  <c r="CI115" i="4" s="1"/>
  <c r="CJ114" i="4" a="1"/>
  <c r="CJ114" i="4" s="1"/>
  <c r="CI114" i="4" s="1"/>
  <c r="BZ117" i="4"/>
  <c r="CC116" i="4"/>
  <c r="CB116" i="4"/>
  <c r="BV36" i="4"/>
  <c r="BU76" i="4"/>
  <c r="BT73" i="4"/>
  <c r="BR71" i="4"/>
  <c r="BS76" i="4"/>
  <c r="BR73" i="4"/>
  <c r="BR76" i="4"/>
  <c r="BQ77" i="4"/>
  <c r="BQ76" i="4"/>
  <c r="BQ72" i="4" a="1"/>
  <c r="BQ72" i="4" s="1"/>
  <c r="BV72" i="4"/>
  <c r="BK41" i="4"/>
  <c r="BJ41" i="4"/>
  <c r="BK39" i="4" a="1"/>
  <c r="BK39" i="4" s="1"/>
  <c r="BK36" i="4"/>
  <c r="BN37" i="4" a="1"/>
  <c r="BN37" i="4" s="1"/>
  <c r="BM81" i="4" a="1"/>
  <c r="BM81" i="4" s="1"/>
  <c r="BM38" i="4"/>
  <c r="BM39" i="4" a="1"/>
  <c r="BM39" i="4" s="1"/>
  <c r="BK38" i="4"/>
  <c r="BN41" i="4"/>
  <c r="BL41" i="4"/>
  <c r="BY117" i="4" a="1"/>
  <c r="CB117" i="4" a="1"/>
  <c r="CD117" i="4" a="1"/>
  <c r="CD118" i="4" a="1"/>
  <c r="CC117" i="4" a="1"/>
  <c r="CE117" i="4" a="1"/>
  <c r="CF116" i="4" a="1"/>
  <c r="BY116" i="4" a="1"/>
  <c r="CE116" i="4" a="1"/>
  <c r="BK79" i="4" a="1"/>
  <c r="CE117" i="4" l="1"/>
  <c r="CC117" i="4"/>
  <c r="CD118" i="4"/>
  <c r="CD117" i="4"/>
  <c r="CB117" i="4"/>
  <c r="BY117" i="4"/>
  <c r="BJ37" i="4" a="1"/>
  <c r="BJ37" i="4" s="1"/>
  <c r="CE116" i="4"/>
  <c r="BY116" i="4"/>
  <c r="CF116" i="4"/>
  <c r="BS77" i="4"/>
  <c r="BU77" i="4" a="1"/>
  <c r="BU77" i="4" s="1"/>
  <c r="BT72" i="4"/>
  <c r="BK79" i="4"/>
  <c r="BO37" i="4"/>
  <c r="BM37" i="4"/>
  <c r="BN42" i="4"/>
  <c r="BL42" i="4"/>
  <c r="BJ42" i="4"/>
  <c r="CH117" i="4" a="1"/>
  <c r="CG117" i="4" a="1"/>
  <c r="CF117" i="4" a="1"/>
  <c r="BZ118" i="4" a="1"/>
  <c r="CA117" i="4" a="1"/>
  <c r="CG116" i="4" a="1"/>
  <c r="CH116" i="4" a="1"/>
  <c r="CA116" i="4" a="1"/>
  <c r="BR37" i="4" a="1"/>
  <c r="BQ38" i="4" a="1"/>
  <c r="BQ78" i="4" a="1"/>
  <c r="CA117" i="4" l="1"/>
  <c r="BZ118" i="4"/>
  <c r="CF117" i="4"/>
  <c r="CG117" i="4"/>
  <c r="CH117" i="4"/>
  <c r="CA116" i="4"/>
  <c r="CH116" i="4"/>
  <c r="CG116" i="4"/>
  <c r="BQ78" i="4"/>
  <c r="BQ38" i="4"/>
  <c r="BR37" i="4"/>
  <c r="BN79" i="4" a="1"/>
  <c r="BN79" i="4" s="1"/>
  <c r="BK81" i="4" a="1"/>
  <c r="BK81" i="4" s="1"/>
  <c r="BZ119" i="4" a="1"/>
  <c r="CB118" i="4" a="1"/>
  <c r="CC118" i="4" a="1"/>
  <c r="CJ117" i="4" l="1" a="1"/>
  <c r="CJ117" i="4" s="1"/>
  <c r="CI117" i="4" s="1"/>
  <c r="CJ116" i="4" a="1"/>
  <c r="CJ116" i="4" s="1"/>
  <c r="CI116" i="4" s="1"/>
  <c r="CC118" i="4"/>
  <c r="CB118" i="4"/>
  <c r="BZ119" i="4"/>
  <c r="BO79" i="4"/>
  <c r="BT81" i="4" a="1"/>
  <c r="BT81" i="4" s="1"/>
  <c r="BU41" i="4"/>
  <c r="BT38" i="4"/>
  <c r="BS41" i="4"/>
  <c r="BT39" i="4" a="1"/>
  <c r="BT39" i="4" s="1"/>
  <c r="BR38" i="4"/>
  <c r="BR41" i="4"/>
  <c r="BU37" i="4" a="1"/>
  <c r="BU37" i="4" s="1"/>
  <c r="BR36" i="4"/>
  <c r="BQ41" i="4"/>
  <c r="BR39" i="4" a="1"/>
  <c r="BR39" i="4" s="1"/>
  <c r="BM80" i="4"/>
  <c r="BK80" i="4"/>
  <c r="BN83" i="4"/>
  <c r="BK83" i="4"/>
  <c r="BL83" i="4"/>
  <c r="BJ84" i="4"/>
  <c r="BJ83" i="4"/>
  <c r="BK78" i="4"/>
  <c r="BJ79" i="4" a="1"/>
  <c r="BJ79" i="4" s="1"/>
  <c r="CD119" i="4" a="1"/>
  <c r="CE119" i="4" a="1"/>
  <c r="BY119" i="4" a="1"/>
  <c r="CF118" i="4" a="1"/>
  <c r="CE118" i="4" a="1"/>
  <c r="CB119" i="4" a="1"/>
  <c r="BY118" i="4" a="1"/>
  <c r="CD120" i="4" a="1"/>
  <c r="CC119" i="4" a="1"/>
  <c r="BR79" i="4" a="1"/>
  <c r="CC119" i="4" l="1"/>
  <c r="CD120" i="4"/>
  <c r="BY118" i="4"/>
  <c r="CB119" i="4"/>
  <c r="CE118" i="4"/>
  <c r="CF118" i="4"/>
  <c r="BY119" i="4"/>
  <c r="CE119" i="4"/>
  <c r="CD119" i="4"/>
  <c r="BQ37" i="4" a="1"/>
  <c r="BQ37" i="4" s="1"/>
  <c r="BN84" i="4" a="1"/>
  <c r="BN84" i="4" s="1"/>
  <c r="BL84" i="4"/>
  <c r="BR79" i="4"/>
  <c r="BV37" i="4"/>
  <c r="BT37" i="4"/>
  <c r="BM79" i="4"/>
  <c r="BS42" i="4"/>
  <c r="BQ42" i="4"/>
  <c r="BU42" i="4"/>
  <c r="CG119" i="4" a="1"/>
  <c r="CF119" i="4" a="1"/>
  <c r="BZ120" i="4" a="1"/>
  <c r="CA119" i="4" a="1"/>
  <c r="CA118" i="4" a="1"/>
  <c r="CH118" i="4" a="1"/>
  <c r="CH119" i="4" a="1"/>
  <c r="CG118" i="4" a="1"/>
  <c r="CG118" i="4" l="1"/>
  <c r="CH119" i="4"/>
  <c r="CH118" i="4"/>
  <c r="CA118" i="4"/>
  <c r="CA119" i="4"/>
  <c r="BZ120" i="4"/>
  <c r="CF119" i="4"/>
  <c r="CG119" i="4"/>
  <c r="BU79" i="4" a="1"/>
  <c r="BU79" i="4" s="1"/>
  <c r="BR81" i="4" a="1"/>
  <c r="BR81" i="4" s="1"/>
  <c r="CB120" i="4" a="1"/>
  <c r="CC120" i="4" a="1"/>
  <c r="CJ118" i="4" l="1" a="1"/>
  <c r="CJ118" i="4" s="1"/>
  <c r="CI118" i="4" s="1"/>
  <c r="CJ119" i="4" a="1"/>
  <c r="CJ119" i="4" s="1"/>
  <c r="CI119" i="4" s="1"/>
  <c r="CC120" i="4"/>
  <c r="CB120" i="4"/>
  <c r="BU83" i="4"/>
  <c r="BT80" i="4"/>
  <c r="BS83" i="4"/>
  <c r="BR80" i="4"/>
  <c r="BR83" i="4"/>
  <c r="BQ84" i="4"/>
  <c r="BQ83" i="4"/>
  <c r="BR78" i="4"/>
  <c r="BQ79" i="4" a="1"/>
  <c r="BQ79" i="4" s="1"/>
  <c r="BV79" i="4"/>
  <c r="BY120" i="4" a="1"/>
  <c r="CF120" i="4" a="1"/>
  <c r="CE120" i="4" a="1"/>
  <c r="CE120" i="4" l="1"/>
  <c r="CF120" i="4"/>
  <c r="BY120" i="4"/>
  <c r="BS84" i="4"/>
  <c r="BU84" i="4" a="1"/>
  <c r="BU84" i="4" s="1"/>
  <c r="BT79" i="4"/>
  <c r="CG120" i="4" a="1"/>
  <c r="CA120" i="4" a="1"/>
  <c r="CH120" i="4" a="1"/>
  <c r="CH120" i="4" l="1"/>
  <c r="CA120" i="4"/>
  <c r="CG120" i="4"/>
  <c r="CJ120" i="4" l="1" a="1"/>
  <c r="CJ120" i="4" s="1"/>
  <c r="CI120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<sst xmlns="http://schemas.openxmlformats.org/spreadsheetml/2006/main" count="1553" uniqueCount="570">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</sst>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color theme="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2"/>
      <color theme="0"/>
      <name val="游ゴシック"/>
      <family val="2"/>
      <charset val="128"/>
      <scheme val="minor"/>
    </font>
    <font>
      <sz val="2"/>
      <color theme="1"/>
      <name val="游ゴシック"/>
      <family val="2"/>
      <charset val="128"/>
      <scheme val="minor"/>
    </font>
    <font>
      <sz val="14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6" fillId="0" borderId="0" xfId="0" applyFont="1" applyAlignment="1"/>
    <xf numFmtId="0" fontId="16" fillId="0" borderId="6" xfId="0" applyFont="1" applyBorder="1">
      <alignment vertical="center"/>
    </xf>
    <xf numFmtId="0" fontId="8" fillId="0" borderId="0" xfId="0" applyFont="1">
      <alignment vertical="center"/>
    </xf>
    <xf numFmtId="0" fontId="16" fillId="0" borderId="11" xfId="0" applyFont="1" applyBorder="1" applyAlignment="1"/>
    <xf numFmtId="0" fontId="7" fillId="0" borderId="0" xfId="0" applyFont="1" applyAlignment="1">
      <alignment horizontal="left" vertical="center"/>
    </xf>
    <xf numFmtId="176" fontId="8" fillId="0" borderId="0" xfId="0" applyNumberFormat="1" applyFont="1" applyAlignment="1">
      <alignment horizontal="right" vertical="center"/>
    </xf>
    <xf numFmtId="0" fontId="16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7" fillId="0" borderId="0" xfId="0" applyFont="1" applyAlignment="1"/>
    <xf numFmtId="0" fontId="8" fillId="0" borderId="11" xfId="0" applyFont="1" applyBorder="1" applyAlignment="1">
      <alignment vertical="top"/>
    </xf>
    <xf numFmtId="0" fontId="8" fillId="0" borderId="11" xfId="0" applyFont="1" applyBorder="1">
      <alignment vertical="center"/>
    </xf>
    <xf numFmtId="0" fontId="8" fillId="0" borderId="0" xfId="0" applyFont="1" applyAlignment="1">
      <alignment horizontal="center"/>
    </xf>
    <xf numFmtId="0" fontId="8" fillId="0" borderId="0" xfId="0" applyFont="1" applyAlignment="1"/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/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1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8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 wrapText="1"/>
    </xf>
    <xf numFmtId="0" fontId="0" fillId="0" borderId="10" xfId="0" applyFill="1" applyBorder="1" applyAlignment="1"/>
    <xf numFmtId="0" fontId="19" fillId="0" borderId="12" xfId="0" applyFont="1" applyBorder="1" applyAlignment="1">
      <alignment horizontal="left" vertical="center"/>
    </xf>
    <xf numFmtId="0" fontId="19" fillId="0" borderId="12" xfId="0" applyFont="1" applyBorder="1">
      <alignment vertical="center"/>
    </xf>
    <xf numFmtId="0" fontId="19" fillId="0" borderId="10" xfId="0" applyFont="1" applyBorder="1">
      <alignment vertical="center"/>
    </xf>
    <xf numFmtId="0" fontId="19" fillId="0" borderId="8" xfId="0" applyFont="1" applyBorder="1">
      <alignment vertical="center"/>
    </xf>
    <xf numFmtId="0" fontId="19" fillId="0" borderId="0" xfId="0" applyFont="1" applyAlignment="1"/>
    <xf numFmtId="0" fontId="20" fillId="0" borderId="8" xfId="0" applyFont="1" applyBorder="1">
      <alignment vertical="center"/>
    </xf>
    <xf numFmtId="0" fontId="21" fillId="0" borderId="8" xfId="0" applyFont="1" applyBorder="1">
      <alignment vertical="center"/>
    </xf>
    <xf numFmtId="0" fontId="18" fillId="0" borderId="12" xfId="0" applyFont="1" applyBorder="1" applyAlignment="1">
      <alignment horizontal="left" vertical="center"/>
    </xf>
    <xf numFmtId="0" fontId="8" fillId="0" borderId="0" xfId="0" applyFont="1" applyAlignment="1">
      <alignment wrapText="1"/>
    </xf>
    <xf numFmtId="0" fontId="22" fillId="0" borderId="6" xfId="0" applyFont="1" applyBorder="1">
      <alignment vertical="center"/>
    </xf>
    <xf numFmtId="0" fontId="7" fillId="0" borderId="7" xfId="0" applyFont="1" applyBorder="1" applyAlignment="1">
      <alignment vertical="center"/>
    </xf>
    <xf numFmtId="0" fontId="23" fillId="0" borderId="12" xfId="0" applyFont="1" applyBorder="1" applyAlignment="1">
      <alignment horizontal="left" vertical="center"/>
    </xf>
    <xf numFmtId="0" fontId="23" fillId="0" borderId="12" xfId="0" applyFont="1" applyBorder="1">
      <alignment vertical="center"/>
    </xf>
    <xf numFmtId="0" fontId="23" fillId="0" borderId="10" xfId="0" applyFont="1" applyBorder="1">
      <alignment vertical="center"/>
    </xf>
    <xf numFmtId="0" fontId="23" fillId="0" borderId="0" xfId="0" applyFont="1" applyAlignment="1"/>
    <xf numFmtId="0" fontId="8" fillId="7" borderId="0" xfId="0" applyFont="1" applyFill="1">
      <alignment vertical="center"/>
    </xf>
    <xf numFmtId="176" fontId="8" fillId="7" borderId="0" xfId="0" applyNumberFormat="1" applyFont="1" applyFill="1">
      <alignment vertical="center"/>
    </xf>
    <xf numFmtId="0" fontId="22" fillId="0" borderId="7" xfId="0" applyNumberFormat="1" applyFont="1" applyBorder="1" applyAlignment="1">
      <alignment horizontal="center" vertical="center"/>
    </xf>
    <xf numFmtId="0" fontId="22" fillId="0" borderId="8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W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A3" sqref="A3"/>
    </sheetView>
  </sheetViews>
  <sheetFormatPr defaultRowHeight="18" x14ac:dyDescent="0.45"/>
  <cols>
    <col min="1" max="1" width="26.69921875" style="73" customWidth="1"/>
    <col min="2" max="11" width="8.796875" style="72" customWidth="1"/>
    <col min="12" max="20" width="11.3984375" style="74" customWidth="1"/>
    <col min="21" max="21" width="11.3984375" style="74" hidden="1" customWidth="1"/>
    <col min="22" max="22" width="32.796875" style="73" customWidth="1"/>
    <col min="23" max="23" width="27.69921875" style="73" customWidth="1"/>
  </cols>
  <sheetData>
    <row r="1" spans="1:23" x14ac:dyDescent="0.45">
      <c r="A1"/>
      <c r="L1" s="72"/>
      <c r="M1" s="72"/>
      <c r="N1" s="72"/>
      <c r="O1" s="72"/>
      <c r="P1" s="72"/>
      <c r="Q1" s="72"/>
      <c r="R1" s="72"/>
      <c r="S1" s="72"/>
      <c r="T1" s="72"/>
      <c r="U1" s="72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INDEX(商品マスタ一覧!$D$1:$D$437,
MATCH(TRUE, ISNUMBER(SEARCH(LEFT(SUBSTITUTE(_xlfn.TEXTJOIN("", TRUE, 貼り付け用!$L$3:$Z$3), "　", ""),3),SUBSTITUTE(商品マスタ一覧!$D$1:$D$437, "　", ""))), 0)), "")</f>
        <v>商品予定名</v>
      </c>
      <c r="M3" s="19" t="str">
        <f t="array" aca="1" ref="M3" ca="1">IFERROR(
IF(MID(SUBSTITUTE(SUBSTITUTE(_xlfn.TEXTJOIN("", TRUE, 貼り付け用!$L$3:$Z$3), "　", ""),T3,""),
M4+1, 3)="","",
INDEX(INDIRECT("商品マスタ一覧!D" &amp; (MATCH(L3, 商品マスタ一覧!$D$1:$D$437, 0)+1) &amp; ":D437"),
MATCH(TRUE, ISNUMBER(SEARCH(
MID(SUBSTITUTE(SUBSTITUTE(_xlfn.TEXTJOIN("", TRUE, 貼り付け用!$L$3:$Z$3), "　", ""),T3,""),
M4+1, 3),
SUBSTITUTE(INDIRECT("商品マスタ一覧!D" &amp; (MATCH(L3, 商品マスタ一覧!$D$1:$D$437, 0)+1) &amp; ":D437"), "　", ""))), 0))),"")</f>
        <v/>
      </c>
      <c r="N3" s="19" t="str">
        <f t="array" aca="1" ref="N3" ca="1">IFERROR(
IF(MID(SUBSTITUTE(SUBSTITUTE(_xlfn.TEXTJOIN("", TRUE, 貼り付け用!$L$3:$Z$3), "　", ""),T3,""),
M4+N4+1, 3)="","",
INDEX(INDIRECT("商品マスタ一覧!D" &amp; (MATCH(M3, 商品マスタ一覧!$D$1:$D$437, 0)+1) &amp; ":D437"),
MATCH(TRUE, ISNUMBER(SEARCH(
MID(SUBSTITUTE(SUBSTITUTE(_xlfn.TEXTJOIN("", TRUE, 貼り付け用!$L$3:$Z$3), "　", ""),T3,""),
M4+N4+1, 3),
SUBSTITUTE(INDIRECT("商品マスタ一覧!D" &amp; (MATCH(M3, 商品マスタ一覧!$D$1:$D$437, 0)+1) &amp; ":D437"), "　", ""))), 0))),"")</f>
        <v/>
      </c>
      <c r="O3" s="19" t="str">
        <f t="array" aca="1" ref="O3" ca="1">IFERROR(
IF(MID(SUBSTITUTE(SUBSTITUTE(_xlfn.TEXTJOIN("", TRUE, 貼り付け用!$L$3:$Z$3), "　", ""),T3,""),
M4+N4+O4+1, 3)="","",
INDEX(INDIRECT("商品マスタ一覧!D" &amp; (MATCH(N3, 商品マスタ一覧!$D$1:$D$437, 0)+1) &amp; ":D437"),
MATCH(TRUE, ISNUMBER(SEARCH(
MID(SUBSTITUTE(SUBSTITUTE(_xlfn.TEXTJOIN("", TRUE, 貼り付け用!$L$3:$Z$3), "　", ""),T3,""),
M4+N4+O4+1, 3),
SUBSTITUTE(INDIRECT("商品マスタ一覧!D" &amp; (MATCH(N3, 商品マスタ一覧!$D$1:$D$437, 0)+1) &amp; ":D437"), "　", ""))), 0))),"")</f>
        <v/>
      </c>
      <c r="P3" s="19" t="str">
        <f t="array" aca="1" ref="P3" ca="1">IFERROR(
IF(MID(SUBSTITUTE(SUBSTITUTE(_xlfn.TEXTJOIN("", TRUE, 貼り付け用!$L$3:$Z$3), "　", ""),T3,""),
M4+N4+O4+P4+1, 3)="","",
INDEX(INDIRECT("商品マスタ一覧!D" &amp; (MATCH(O3, 商品マスタ一覧!$D$1:$D$437, 0)+1) &amp; ":D437"),
MATCH(TRUE, ISNUMBER(SEARCH(
MID(SUBSTITUTE(SUBSTITUTE(_xlfn.TEXTJOIN("", TRUE, 貼り付け用!$L$3:$Z$3), "　", ""),T3,""),
M4+N4+O4+P4+1, 3),
SUBSTITUTE(INDIRECT("商品マスタ一覧!D" &amp; (MATCH(O3, 商品マスタ一覧!$D$1:$D$437, 0)+1) &amp; ":D437"), "　", ""))), 0))),"")</f>
        <v/>
      </c>
      <c r="Q3" s="19" t="str">
        <f t="array" aca="1" ref="Q3" ca="1">IFERROR(
IF(MID(SUBSTITUTE(SUBSTITUTE(_xlfn.TEXTJOIN("", TRUE, 貼り付け用!$L$3:$Z$3), "　", ""),T3,""),
M4+N4+O4+P4+Q4+1, 3)="","",
INDEX(INDIRECT("商品マスタ一覧!D" &amp; (MATCH(P3, 商品マスタ一覧!$D$1:$D$437, 0)+1) &amp; ":D437"),
MATCH(TRUE, ISNUMBER(SEARCH(
MID(SUBSTITUTE(SUBSTITUTE(_xlfn.TEXTJOIN("", TRUE, 貼り付け用!$L$3:$Z$3), "　", ""),T3,""),
M4+N4+O4+P4+Q4+1, 3),
SUBSTITUTE(INDIRECT("商品マスタ一覧!D" &amp; (MATCH(P3, 商品マスタ一覧!$D$1:$D$437, 0)+1) &amp; ":D437"), "　", ""))), 0))),"")</f>
        <v/>
      </c>
      <c r="R3" s="19" t="str">
        <f t="array" aca="1" ref="R3" ca="1">IFERROR(
IF(MID(SUBSTITUTE(SUBSTITUTE(_xlfn.TEXTJOIN("", TRUE, 貼り付け用!$L$3:$Z$3), "　", ""),T3,""),
M4+N4+O4+P4+Q4+R4+1, 3)="","",
INDEX(INDIRECT("商品マスタ一覧!D" &amp; (MATCH(Q3, 商品マスタ一覧!$D$1:$D$437, 0)+1) &amp; ":D437"),
MATCH(TRUE, ISNUMBER(SEARCH(
MID(SUBSTITUTE(SUBSTITUTE(_xlfn.TEXTJOIN("", TRUE, 貼り付け用!$L$3:$Z$3), "　", ""),T3,""),
M4+N4+O4+P4+Q4+R4+1, 3),
SUBSTITUTE(INDIRECT("商品マスタ一覧!D" &amp; (MATCH(Q3, 商品マスタ一覧!$D$1:$D$437, 0)+1) &amp; ":D437"), "　", ""))), 0))),"")</f>
        <v/>
      </c>
      <c r="S3" s="19" t="str">
        <f t="array" aca="1" ref="S3" ca="1">IFERROR(
IF(MID(SUBSTITUTE(SUBSTITUTE(_xlfn.TEXTJOIN("", TRUE, 貼り付け用!$L$3:$Z$3), "　", ""),T3,""),
M4+N4+O4+P4+Q4+R4+S4+1, 3)="","",
INDEX(INDIRECT("商品マスタ一覧!D" &amp; (MATCH(R3, 商品マスタ一覧!$D$1:$D$437, 0)+1) &amp; ":D437"),
MATCH(TRUE, ISNUMBER(SEARCH(
MID(SUBSTITUTE(SUBSTITUTE(_xlfn.TEXTJOIN("", TRUE, 貼り付け用!$L$3:$Z$3), "　", ""),T3,""),
M4+N4+O4+P4+Q4+R4+S4+1, 3),
SUBSTITUTE(INDIRECT("商品マスタ一覧!D" &amp; (MATCH(R3, 商品マスタ一覧!$D$1:$D$437, 0)+1) &amp; ":D437"), "　", ""))), 0))),"")</f>
        <v/>
      </c>
      <c r="T3" s="20" t="s">
        <v>7</v>
      </c>
      <c r="U3" s="20"/>
      <c r="V3" s="6"/>
      <c r="W3" s="7"/>
    </row>
    <row r="4" spans="1:23" x14ac:dyDescent="0.45">
      <c r="A4" s="2">
        <f>貼り付け用!A4</f>
        <v>0</v>
      </c>
      <c r="B4" s="18" t="s">
        <v>8</v>
      </c>
      <c r="C4" s="18" t="s">
        <v>8</v>
      </c>
      <c r="D4" s="18" t="s">
        <v>8</v>
      </c>
      <c r="E4" s="18" t="s">
        <v>9</v>
      </c>
      <c r="F4" s="18" t="s">
        <v>10</v>
      </c>
      <c r="G4" s="18" t="s">
        <v>8</v>
      </c>
      <c r="H4" s="18" t="s">
        <v>8</v>
      </c>
      <c r="I4" s="18" t="s">
        <v>9</v>
      </c>
      <c r="J4" s="18" t="s">
        <v>9</v>
      </c>
      <c r="K4" s="18" t="s">
        <v>10</v>
      </c>
      <c r="L4" s="48"/>
      <c r="M4" s="49">
        <f>IF(L3&lt;&gt;"",IF(AND(COUNTIF(貼り付け用!$L$3:$Z$3,"*"&amp;SUBSTITUTE(L3,"　","")&amp;"*"),LEN(SUBSTITUTE(L3,"　",""))&gt;2),
LEN(SUBSTITUTE(L3,"　","")),
IF(AND(COUNTIF(貼り付け用!$L$3:$Z$3,"*"&amp;LEFT(SUBSTITUTE(L3,"　",""),LEN(SUBSTITUTE(L3,"　",""))-1)&amp;"*"),LEN(LEFT(SUBSTITUTE(L3,"　",""),LEN(SUBSTITUTE(L3,"　",""))-1))&gt;2),
LEN(LEFT(SUBSTITUTE(L3,"　",""),LEN(SUBSTITUTE(L3,"　",""))-1)),
IF(AND(COUNTIF(貼り付け用!$L$3:$Z$3,"*"&amp;LEFT(SUBSTITUTE(L3,"　",""),LEN(SUBSTITUTE(L3,"　",""))-2)&amp;"*"),LEN(LEFT(SUBSTITUTE(L3,"　",""),LEN(SUBSTITUTE(L3,"　",""))-2))&gt;2),
LEN(LEFT(SUBSTITUTE(L3,"　",""),LEN(SUBSTITUTE(L3,"　",""))-2)),
IF(AND(COUNTIF(貼り付け用!$L$3:$Z$3,"*"&amp;LEFT(SUBSTITUTE(L3,"　",""),LEN(SUBSTITUTE(L3,"　",""))-3)&amp;"*"),LEN(LEFT(SUBSTITUTE(L3,"　",""),LEN(SUBSTITUTE(L3,"　",""))-3))&gt;2),
LEN(LEFT(SUBSTITUTE(L3,"　",""),LEN(SUBSTITUTE(L3,"　",""))-3)),
IF(AND(COUNTIF(貼り付け用!$L$3:$Z$3,"*"&amp;LEFT(SUBSTITUTE(L3,"　",""),LEN(SUBSTITUTE(L3,"　",""))-4)&amp;"*"),LEN(LEFT(SUBSTITUTE(L3,"　",""),LEN(SUBSTITUTE(L3,"　",""))-4))&gt;2),
LEN(LEFT(SUBSTITUTE(L3,"　",""),LEN(SUBSTITUTE(L3,"　",""))-4)),
10))))),"")</f>
        <v>10</v>
      </c>
      <c r="N4" s="49" t="str">
        <f ca="1">IF(M3&lt;&gt;"",IF(AND(COUNTIF(貼り付け用!$L$3:$Z$3,"*"&amp;SUBSTITUTE(M3,"　","")&amp;"*"),LEN(SUBSTITUTE(M3,"　",""))&gt;2),
LEN(SUBSTITUTE(M3,"　","")),
IF(AND(COUNTIF(貼り付け用!$L$3:$Z$3,"*"&amp;LEFT(SUBSTITUTE(M3,"　",""),LEN(SUBSTITUTE(M3,"　",""))-1)&amp;"*"),LEN(LEFT(SUBSTITUTE(M3,"　",""),LEN(SUBSTITUTE(M3,"　",""))-1))&gt;2),
LEN(LEFT(SUBSTITUTE(M3,"　",""),LEN(SUBSTITUTE(M3,"　",""))-1)),
IF(AND(COUNTIF(貼り付け用!$L$3:$Z$3,"*"&amp;LEFT(SUBSTITUTE(M3,"　",""),LEN(SUBSTITUTE(M3,"　",""))-2)&amp;"*"),LEN(LEFT(SUBSTITUTE(M3,"　",""),LEN(SUBSTITUTE(M3,"　",""))-2))&gt;2),
LEN(LEFT(SUBSTITUTE(M3,"　",""),LEN(SUBSTITUTE(M3,"　",""))-2)),
IF(AND(COUNTIF(貼り付け用!$L$3:$Z$3,"*"&amp;LEFT(SUBSTITUTE(M3,"　",""),LEN(SUBSTITUTE(M3,"　",""))-3)&amp;"*"),LEN(LEFT(SUBSTITUTE(M3,"　",""),LEN(SUBSTITUTE(M3,"　",""))-3))&gt;2),
LEN(LEFT(SUBSTITUTE(M3,"　",""),LEN(SUBSTITUTE(M3,"　",""))-3)),
IF(AND(COUNTIF(貼り付け用!$L$3:$Z$3,"*"&amp;LEFT(SUBSTITUTE(M3,"　",""),LEN(SUBSTITUTE(M3,"　",""))-4)&amp;"*"),LEN(LEFT(SUBSTITUTE(M3,"　",""),LEN(SUBSTITUTE(M3,"　",""))-4))&gt;2),
LEN(LEFT(SUBSTITUTE(M3,"　",""),LEN(SUBSTITUTE(M3,"　",""))-4)),
10))))),"")</f>
        <v/>
      </c>
      <c r="O4" s="49" t="str">
        <f ca="1">IF(N3&lt;&gt;"",IF(AND(COUNTIF(貼り付け用!$L$3:$Z$3,"*"&amp;SUBSTITUTE(N3,"　","")&amp;"*"),LEN(SUBSTITUTE(N3,"　",""))&gt;2),
LEN(SUBSTITUTE(N3,"　","")),
IF(AND(COUNTIF(貼り付け用!$L$3:$Z$3,"*"&amp;LEFT(SUBSTITUTE(N3,"　",""),LEN(SUBSTITUTE(N3,"　",""))-1)&amp;"*"),LEN(LEFT(SUBSTITUTE(N3,"　",""),LEN(SUBSTITUTE(N3,"　",""))-1))&gt;2),
LEN(LEFT(SUBSTITUTE(N3,"　",""),LEN(SUBSTITUTE(N3,"　",""))-1)),
IF(AND(COUNTIF(貼り付け用!$L$3:$Z$3,"*"&amp;LEFT(SUBSTITUTE(N3,"　",""),LEN(SUBSTITUTE(N3,"　",""))-2)&amp;"*"),LEN(LEFT(SUBSTITUTE(N3,"　",""),LEN(SUBSTITUTE(N3,"　",""))-2))&gt;2),
LEN(LEFT(SUBSTITUTE(N3,"　",""),LEN(SUBSTITUTE(N3,"　",""))-2)),
IF(AND(COUNTIF(貼り付け用!$L$3:$Z$3,"*"&amp;LEFT(SUBSTITUTE(N3,"　",""),LEN(SUBSTITUTE(N3,"　",""))-3)&amp;"*"),LEN(LEFT(SUBSTITUTE(N3,"　",""),LEN(SUBSTITUTE(N3,"　",""))-3))&gt;2),
LEN(LEFT(SUBSTITUTE(N3,"　",""),LEN(SUBSTITUTE(N3,"　",""))-3)),
IF(AND(COUNTIF(貼り付け用!$L$3:$Z$3,"*"&amp;LEFT(SUBSTITUTE(N3,"　",""),LEN(SUBSTITUTE(N3,"　",""))-4)&amp;"*"),LEN(LEFT(SUBSTITUTE(N3,"　",""),LEN(SUBSTITUTE(N3,"　",""))-4))&gt;2),
LEN(LEFT(SUBSTITUTE(N3,"　",""),LEN(SUBSTITUTE(N3,"　",""))-4)),
10))))),"")</f>
        <v/>
      </c>
      <c r="P4" s="49" t="str">
        <f ca="1">IF(O3&lt;&gt;"",IF(AND(COUNTIF(貼り付け用!$L$3:$Z$3,"*"&amp;SUBSTITUTE(O3,"　","")&amp;"*"),LEN(SUBSTITUTE(O3,"　",""))&gt;2),
LEN(SUBSTITUTE(O3,"　","")),
IF(AND(COUNTIF(貼り付け用!$L$3:$Z$3,"*"&amp;LEFT(SUBSTITUTE(O3,"　",""),LEN(SUBSTITUTE(O3,"　",""))-1)&amp;"*"),LEN(LEFT(SUBSTITUTE(O3,"　",""),LEN(SUBSTITUTE(O3,"　",""))-1))&gt;2),
LEN(LEFT(SUBSTITUTE(O3,"　",""),LEN(SUBSTITUTE(O3,"　",""))-1)),
IF(AND(COUNTIF(貼り付け用!$L$3:$Z$3,"*"&amp;LEFT(SUBSTITUTE(O3,"　",""),LEN(SUBSTITUTE(O3,"　",""))-2)&amp;"*"),LEN(LEFT(SUBSTITUTE(O3,"　",""),LEN(SUBSTITUTE(O3,"　",""))-2))&gt;2),
LEN(LEFT(SUBSTITUTE(O3,"　",""),LEN(SUBSTITUTE(O3,"　",""))-2)),
IF(AND(COUNTIF(貼り付け用!$L$3:$Z$3,"*"&amp;LEFT(SUBSTITUTE(O3,"　",""),LEN(SUBSTITUTE(O3,"　",""))-3)&amp;"*"),LEN(LEFT(SUBSTITUTE(O3,"　",""),LEN(SUBSTITUTE(O3,"　",""))-3))&gt;2),
LEN(LEFT(SUBSTITUTE(O3,"　",""),LEN(SUBSTITUTE(O3,"　",""))-3)),
IF(AND(COUNTIF(貼り付け用!$L$3:$Z$3,"*"&amp;LEFT(SUBSTITUTE(O3,"　",""),LEN(SUBSTITUTE(O3,"　",""))-4)&amp;"*"),LEN(LEFT(SUBSTITUTE(O3,"　",""),LEN(SUBSTITUTE(O3,"　",""))-4))&gt;2),
LEN(LEFT(SUBSTITUTE(O3,"　",""),LEN(SUBSTITUTE(O3,"　",""))-4)),
10))))),"")</f>
        <v/>
      </c>
      <c r="Q4" s="49" t="str">
        <f ca="1">IF(P3&lt;&gt;"",IF(AND(COUNTIF(貼り付け用!$L$3:$Z$3,"*"&amp;SUBSTITUTE(P3,"　","")&amp;"*"),LEN(SUBSTITUTE(P3,"　",""))&gt;2),
LEN(SUBSTITUTE(P3,"　","")),
IF(AND(COUNTIF(貼り付け用!$L$3:$Z$3,"*"&amp;LEFT(SUBSTITUTE(P3,"　",""),LEN(SUBSTITUTE(P3,"　",""))-1)&amp;"*"),LEN(LEFT(SUBSTITUTE(P3,"　",""),LEN(SUBSTITUTE(P3,"　",""))-1))&gt;2),
LEN(LEFT(SUBSTITUTE(P3,"　",""),LEN(SUBSTITUTE(P3,"　",""))-1)),
IF(AND(COUNTIF(貼り付け用!$L$3:$Z$3,"*"&amp;LEFT(SUBSTITUTE(P3,"　",""),LEN(SUBSTITUTE(P3,"　",""))-2)&amp;"*"),LEN(LEFT(SUBSTITUTE(P3,"　",""),LEN(SUBSTITUTE(P3,"　",""))-2))&gt;2),
LEN(LEFT(SUBSTITUTE(P3,"　",""),LEN(SUBSTITUTE(P3,"　",""))-2)),
IF(AND(COUNTIF(貼り付け用!$L$3:$Z$3,"*"&amp;LEFT(SUBSTITUTE(P3,"　",""),LEN(SUBSTITUTE(P3,"　",""))-3)&amp;"*"),LEN(LEFT(SUBSTITUTE(P3,"　",""),LEN(SUBSTITUTE(P3,"　",""))-3))&gt;2),
LEN(LEFT(SUBSTITUTE(P3,"　",""),LEN(SUBSTITUTE(P3,"　",""))-3)),
IF(AND(COUNTIF(貼り付け用!$L$3:$Z$3,"*"&amp;LEFT(SUBSTITUTE(P3,"　",""),LEN(SUBSTITUTE(P3,"　",""))-4)&amp;"*"),LEN(LEFT(SUBSTITUTE(P3,"　",""),LEN(SUBSTITUTE(P3,"　",""))-4))&gt;2),
LEN(LEFT(SUBSTITUTE(P3,"　",""),LEN(SUBSTITUTE(P3,"　",""))-4)),
10))))),"")</f>
        <v/>
      </c>
      <c r="R4" s="49" t="str">
        <f ca="1">IF(Q3&lt;&gt;"",IF(AND(COUNTIF(貼り付け用!$L$3:$Z$3,"*"&amp;SUBSTITUTE(Q3,"　","")&amp;"*"),LEN(SUBSTITUTE(Q3,"　",""))&gt;2),
LEN(SUBSTITUTE(Q3,"　","")),
IF(AND(COUNTIF(貼り付け用!$L$3:$Z$3,"*"&amp;LEFT(SUBSTITUTE(Q3,"　",""),LEN(SUBSTITUTE(Q3,"　",""))-1)&amp;"*"),LEN(LEFT(SUBSTITUTE(Q3,"　",""),LEN(SUBSTITUTE(Q3,"　",""))-1))&gt;2),
LEN(LEFT(SUBSTITUTE(Q3,"　",""),LEN(SUBSTITUTE(Q3,"　",""))-1)),
IF(AND(COUNTIF(貼り付け用!$L$3:$Z$3,"*"&amp;LEFT(SUBSTITUTE(Q3,"　",""),LEN(SUBSTITUTE(Q3,"　",""))-2)&amp;"*"),LEN(LEFT(SUBSTITUTE(Q3,"　",""),LEN(SUBSTITUTE(Q3,"　",""))-2))&gt;2),
LEN(LEFT(SUBSTITUTE(Q3,"　",""),LEN(SUBSTITUTE(Q3,"　",""))-2)),
IF(AND(COUNTIF(貼り付け用!$L$3:$Z$3,"*"&amp;LEFT(SUBSTITUTE(Q3,"　",""),LEN(SUBSTITUTE(Q3,"　",""))-3)&amp;"*"),LEN(LEFT(SUBSTITUTE(Q3,"　",""),LEN(SUBSTITUTE(Q3,"　",""))-3))&gt;2),
LEN(LEFT(SUBSTITUTE(Q3,"　",""),LEN(SUBSTITUTE(Q3,"　",""))-3)),
IF(AND(COUNTIF(貼り付け用!$L$3:$Z$3,"*"&amp;LEFT(SUBSTITUTE(Q3,"　",""),LEN(SUBSTITUTE(Q3,"　",""))-4)&amp;"*"),LEN(LEFT(SUBSTITUTE(Q3,"　",""),LEN(SUBSTITUTE(Q3,"　",""))-4))&gt;2),
LEN(LEFT(SUBSTITUTE(Q3,"　",""),LEN(SUBSTITUTE(Q3,"　",""))-4)),
10))))),"")</f>
        <v/>
      </c>
      <c r="S4" s="49" t="str">
        <f ca="1">IF(R3&lt;&gt;"",IF(AND(COUNTIF(貼り付け用!$L$3:$Z$3,"*"&amp;SUBSTITUTE(R3,"　","")&amp;"*"),LEN(SUBSTITUTE(R3,"　",""))&gt;2),
LEN(SUBSTITUTE(R3,"　","")),
IF(AND(COUNTIF(貼り付け用!$L$3:$Z$3,"*"&amp;LEFT(SUBSTITUTE(R3,"　",""),LEN(SUBSTITUTE(R3,"　",""))-1)&amp;"*"),LEN(LEFT(SUBSTITUTE(R3,"　",""),LEN(SUBSTITUTE(R3,"　",""))-1))&gt;2),
LEN(LEFT(SUBSTITUTE(R3,"　",""),LEN(SUBSTITUTE(R3,"　",""))-1)),
IF(AND(COUNTIF(貼り付け用!$L$3:$Z$3,"*"&amp;LEFT(SUBSTITUTE(R3,"　",""),LEN(SUBSTITUTE(R3,"　",""))-2)&amp;"*"),LEN(LEFT(SUBSTITUTE(R3,"　",""),LEN(SUBSTITUTE(R3,"　",""))-2))&gt;2),
LEN(LEFT(SUBSTITUTE(R3,"　",""),LEN(SUBSTITUTE(R3,"　",""))-2)),
IF(AND(COUNTIF(貼り付け用!$L$3:$Z$3,"*"&amp;LEFT(SUBSTITUTE(R3,"　",""),LEN(SUBSTITUTE(R3,"　",""))-3)&amp;"*"),LEN(LEFT(SUBSTITUTE(R3,"　",""),LEN(SUBSTITUTE(R3,"　",""))-3))&gt;2),
LEN(LEFT(SUBSTITUTE(R3,"　",""),LEN(SUBSTITUTE(R3,"　",""))-3)),
IF(AND(COUNTIF(貼り付け用!$L$3:$Z$3,"*"&amp;LEFT(SUBSTITUTE(R3,"　",""),LEN(SUBSTITUTE(R3,"　",""))-4)&amp;"*"),LEN(LEFT(SUBSTITUTE(R3,"　",""),LEN(SUBSTITUTE(R3,"　",""))-4))&gt;2),
LEN(LEFT(SUBSTITUTE(R3,"　",""),LEN(SUBSTITUTE(R3,"　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11</v>
      </c>
      <c r="F5" s="18"/>
      <c r="G5" s="18">
        <v>120</v>
      </c>
      <c r="H5" s="18">
        <v>100</v>
      </c>
      <c r="I5" s="18" t="s">
        <v>11</v>
      </c>
      <c r="J5" s="18" t="s">
        <v>12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47"/>
  <sheetViews>
    <sheetView zoomScale="60" zoomScaleNormal="60" workbookViewId="0">
      <selection activeCell="U14" sqref="U14"/>
    </sheetView>
  </sheetViews>
  <sheetFormatPr defaultRowHeight="18" x14ac:dyDescent="0.45"/>
  <cols>
    <col min="1" max="1" width="26.69921875" style="73" customWidth="1"/>
    <col min="2" max="2" width="8.796875" style="72" customWidth="1"/>
    <col min="3" max="3" width="3.59765625" style="72" customWidth="1"/>
    <col min="4" max="4" width="8.796875" style="72" customWidth="1"/>
    <col min="5" max="5" width="3.59765625" style="72" customWidth="1"/>
    <col min="6" max="6" width="8.796875" style="72" customWidth="1"/>
    <col min="7" max="7" width="3.59765625" style="72" customWidth="1"/>
    <col min="8" max="8" width="8.796875" style="72" customWidth="1"/>
    <col min="9" max="9" width="3.59765625" style="72" customWidth="1"/>
    <col min="10" max="10" width="8.796875" style="72" customWidth="1"/>
    <col min="11" max="11" width="3.59765625" style="72" customWidth="1"/>
    <col min="12" max="12" width="8.796875" style="72" customWidth="1"/>
    <col min="13" max="13" width="3.59765625" style="72" customWidth="1"/>
    <col min="14" max="14" width="8.796875" style="72" customWidth="1"/>
    <col min="15" max="15" width="3.59765625" style="72" customWidth="1"/>
    <col min="16" max="16" width="8.796875" style="72" customWidth="1"/>
    <col min="17" max="17" width="3.59765625" style="72" customWidth="1"/>
    <col min="18" max="18" width="8.796875" style="72" customWidth="1"/>
    <col min="19" max="19" width="3.59765625" style="72" customWidth="1"/>
    <col min="20" max="20" width="8.796875" style="72" customWidth="1"/>
    <col min="21" max="21" width="3.59765625" style="72" customWidth="1"/>
    <col min="22" max="22" width="11.3984375" style="74" customWidth="1"/>
    <col min="23" max="23" width="3.59765625" style="72" customWidth="1"/>
    <col min="24" max="24" width="11.3984375" style="74" customWidth="1"/>
    <col min="25" max="25" width="3.59765625" style="72" customWidth="1"/>
    <col min="26" max="26" width="11.3984375" style="74" customWidth="1"/>
    <col min="27" max="27" width="3.59765625" style="72" customWidth="1"/>
    <col min="28" max="28" width="11.3984375" style="74" customWidth="1"/>
    <col min="29" max="29" width="3.59765625" style="72" customWidth="1"/>
    <col min="30" max="30" width="11.3984375" style="74" customWidth="1"/>
    <col min="31" max="31" width="3.59765625" style="72" customWidth="1"/>
    <col min="32" max="32" width="11.3984375" style="74" customWidth="1"/>
    <col min="33" max="33" width="3.59765625" style="72" customWidth="1"/>
    <col min="34" max="34" width="11.3984375" style="74" customWidth="1"/>
    <col min="35" max="35" width="3.59765625" style="72" customWidth="1"/>
    <col min="36" max="36" width="11.3984375" style="74" customWidth="1"/>
    <col min="37" max="37" width="3.59765625" style="72" customWidth="1"/>
    <col min="38" max="38" width="11.3984375" style="74" customWidth="1"/>
    <col min="39" max="39" width="32.796875" style="73" customWidth="1"/>
    <col min="40" max="40" width="27.69921875" style="73" customWidth="1"/>
  </cols>
  <sheetData>
    <row r="1" spans="1:40" x14ac:dyDescent="0.45">
      <c r="A1"/>
      <c r="V1" s="72"/>
      <c r="X1" s="72"/>
      <c r="Z1" s="72"/>
      <c r="AB1" s="72"/>
      <c r="AD1" s="72"/>
      <c r="AF1" s="72"/>
      <c r="AH1" s="72"/>
      <c r="AJ1" s="72"/>
      <c r="AK1" s="69"/>
      <c r="AL1" s="70"/>
      <c r="AM1" s="71" t="s">
        <v>13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72" t="s">
        <v>2</v>
      </c>
      <c r="AC2" s="45"/>
      <c r="AD2" s="72"/>
      <c r="AE2" s="45"/>
      <c r="AF2" s="72"/>
      <c r="AG2" s="45"/>
      <c r="AI2" s="45"/>
      <c r="AJ2" s="72"/>
      <c r="AK2" s="45"/>
      <c r="AL2" s="72" t="s">
        <v>3</v>
      </c>
      <c r="AM2" s="14" t="str">
        <f>貼り付け用!T2&amp;"　"&amp;貼り付け用!U2&amp;"　"&amp;貼り付け用!V2&amp;"　"&amp;貼り付け用!W2</f>
        <v>　　　</v>
      </c>
    </row>
    <row r="3" spans="1:40" x14ac:dyDescent="0.45">
      <c r="A3" s="4"/>
      <c r="B3" s="66" t="s">
        <v>4</v>
      </c>
      <c r="C3" s="63"/>
      <c r="D3" s="67" t="s">
        <v>4</v>
      </c>
      <c r="E3" s="63"/>
      <c r="F3" s="60" t="s">
        <v>5</v>
      </c>
      <c r="G3" s="63"/>
      <c r="H3" s="68" t="s">
        <v>5</v>
      </c>
      <c r="I3" s="63"/>
      <c r="J3" s="61" t="s">
        <v>5</v>
      </c>
      <c r="K3" s="63"/>
      <c r="L3" s="60" t="s">
        <v>6</v>
      </c>
      <c r="M3" s="63"/>
      <c r="N3" s="62" t="s">
        <v>6</v>
      </c>
      <c r="O3" s="63"/>
      <c r="P3" s="65" t="s">
        <v>6</v>
      </c>
      <c r="Q3" s="63"/>
      <c r="R3" s="62" t="s">
        <v>6</v>
      </c>
      <c r="S3" s="63"/>
      <c r="T3" s="61" t="s">
        <v>6</v>
      </c>
      <c r="U3" s="63"/>
      <c r="V3" s="19" t="str">
        <f>数出表_Excel!L3</f>
        <v>商品予定名</v>
      </c>
      <c r="W3" s="63"/>
      <c r="X3" s="19" t="str">
        <f ca="1">数出表_Excel!M3</f>
        <v/>
      </c>
      <c r="Y3" s="63"/>
      <c r="Z3" s="19" t="str">
        <f ca="1">数出表_Excel!N3</f>
        <v/>
      </c>
      <c r="AA3" s="63"/>
      <c r="AB3" s="19" t="str">
        <f ca="1">数出表_Excel!O3</f>
        <v/>
      </c>
      <c r="AC3" s="63"/>
      <c r="AD3" s="19" t="str">
        <f ca="1">数出表_Excel!P3</f>
        <v/>
      </c>
      <c r="AE3" s="63"/>
      <c r="AF3" s="19" t="str">
        <f ca="1">数出表_Excel!Q3</f>
        <v/>
      </c>
      <c r="AG3" s="63"/>
      <c r="AH3" s="19" t="str">
        <f ca="1">数出表_Excel!R3</f>
        <v/>
      </c>
      <c r="AI3" s="63"/>
      <c r="AJ3" s="19" t="str">
        <f ca="1">数出表_Excel!S3</f>
        <v/>
      </c>
      <c r="AK3" s="63"/>
      <c r="AL3" s="20" t="s">
        <v>7</v>
      </c>
      <c r="AM3" s="6"/>
      <c r="AN3" s="7"/>
    </row>
    <row r="4" spans="1:40" x14ac:dyDescent="0.45">
      <c r="A4" s="2">
        <f>貼り付け用!A4</f>
        <v>0</v>
      </c>
      <c r="B4" s="18" t="s">
        <v>8</v>
      </c>
      <c r="C4" s="18"/>
      <c r="D4" s="18" t="s">
        <v>8</v>
      </c>
      <c r="E4" s="18"/>
      <c r="F4" s="18" t="s">
        <v>8</v>
      </c>
      <c r="G4" s="18"/>
      <c r="H4" s="18" t="s">
        <v>9</v>
      </c>
      <c r="I4" s="18"/>
      <c r="J4" s="18" t="s">
        <v>10</v>
      </c>
      <c r="K4" s="18"/>
      <c r="L4" s="18" t="s">
        <v>8</v>
      </c>
      <c r="M4" s="18"/>
      <c r="N4" s="18" t="s">
        <v>8</v>
      </c>
      <c r="O4" s="18"/>
      <c r="P4" s="18" t="s">
        <v>9</v>
      </c>
      <c r="Q4" s="18"/>
      <c r="R4" s="18" t="s">
        <v>9</v>
      </c>
      <c r="S4" s="18"/>
      <c r="T4" s="18" t="s">
        <v>10</v>
      </c>
      <c r="U4" s="18"/>
      <c r="V4" s="48"/>
      <c r="W4" s="18"/>
      <c r="X4" s="4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8"/>
      <c r="Z4" s="4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8"/>
      <c r="AB4" s="4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8"/>
      <c r="AD4" s="4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8"/>
      <c r="AF4" s="4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8"/>
      <c r="AH4" s="4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8"/>
      <c r="AJ4" s="4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8"/>
      <c r="AL4" s="49"/>
      <c r="AM4" s="21"/>
      <c r="AN4" s="1"/>
    </row>
    <row r="5" spans="1:40" x14ac:dyDescent="0.45">
      <c r="A5" s="3"/>
      <c r="B5" s="18">
        <v>100</v>
      </c>
      <c r="C5" s="18"/>
      <c r="D5" s="18">
        <v>150</v>
      </c>
      <c r="E5" s="18"/>
      <c r="F5" s="18">
        <v>120</v>
      </c>
      <c r="G5" s="18"/>
      <c r="H5" s="18" t="s">
        <v>11</v>
      </c>
      <c r="I5" s="18"/>
      <c r="J5" s="18"/>
      <c r="K5" s="18"/>
      <c r="L5" s="18">
        <v>120</v>
      </c>
      <c r="M5" s="18"/>
      <c r="N5" s="18">
        <v>100</v>
      </c>
      <c r="O5" s="18"/>
      <c r="P5" s="18" t="s">
        <v>11</v>
      </c>
      <c r="Q5" s="18"/>
      <c r="R5" s="18" t="s">
        <v>12</v>
      </c>
      <c r="S5" s="18"/>
      <c r="T5" s="18"/>
      <c r="U5" s="18"/>
      <c r="V5" s="20"/>
      <c r="W5" s="18"/>
      <c r="X5" s="20"/>
      <c r="Y5" s="18"/>
      <c r="Z5" s="20"/>
      <c r="AA5" s="18"/>
      <c r="AB5" s="20"/>
      <c r="AC5" s="18"/>
      <c r="AD5" s="20"/>
      <c r="AE5" s="18"/>
      <c r="AF5" s="20"/>
      <c r="AG5" s="18"/>
      <c r="AH5" s="20"/>
      <c r="AI5" s="18"/>
      <c r="AJ5" s="20"/>
      <c r="AK5" s="18"/>
      <c r="AL5" s="20"/>
      <c r="AM5" s="21"/>
      <c r="AN5" s="1"/>
    </row>
    <row r="6" spans="1:40" x14ac:dyDescent="0.45">
      <c r="A6" s="5" t="e">
        <f>数出表_Excel!A6</f>
        <v>#N/A</v>
      </c>
      <c r="B6" s="16" t="e">
        <f>数出表_Excel!B6</f>
        <v>#N/A</v>
      </c>
      <c r="C6" s="64"/>
      <c r="D6" s="16" t="e">
        <f>数出表_Excel!C6</f>
        <v>#N/A</v>
      </c>
      <c r="E6" s="64"/>
      <c r="F6" s="16" t="e">
        <f>数出表_Excel!D6</f>
        <v>#N/A</v>
      </c>
      <c r="G6" s="64"/>
      <c r="H6" s="16" t="e">
        <f>数出表_Excel!E6</f>
        <v>#N/A</v>
      </c>
      <c r="I6" s="64"/>
      <c r="J6" s="16" t="e">
        <f>数出表_Excel!F6</f>
        <v>#N/A</v>
      </c>
      <c r="K6" s="64"/>
      <c r="L6" s="16" t="e">
        <f>数出表_Excel!G6</f>
        <v>#N/A</v>
      </c>
      <c r="M6" s="64"/>
      <c r="N6" s="16" t="e">
        <f>数出表_Excel!H6</f>
        <v>#N/A</v>
      </c>
      <c r="O6" s="64"/>
      <c r="P6" s="16" t="e">
        <f>数出表_Excel!I6</f>
        <v>#N/A</v>
      </c>
      <c r="Q6" s="64"/>
      <c r="R6" s="16" t="e">
        <f>数出表_Excel!J6</f>
        <v>#N/A</v>
      </c>
      <c r="S6" s="64"/>
      <c r="T6" s="16" t="e">
        <f>数出表_Excel!K6</f>
        <v>#N/A</v>
      </c>
      <c r="U6" s="64"/>
      <c r="V6" s="16" t="e">
        <f>数出表_Excel!L6</f>
        <v>#N/A</v>
      </c>
      <c r="W6" s="64"/>
      <c r="X6" s="16" t="e">
        <f>数出表_Excel!M6</f>
        <v>#N/A</v>
      </c>
      <c r="Y6" s="64"/>
      <c r="Z6" s="16" t="e">
        <f>数出表_Excel!N6</f>
        <v>#N/A</v>
      </c>
      <c r="AA6" s="64"/>
      <c r="AB6" s="16" t="e">
        <f>数出表_Excel!O6</f>
        <v>#N/A</v>
      </c>
      <c r="AC6" s="64"/>
      <c r="AD6" s="16" t="e">
        <f>数出表_Excel!P6</f>
        <v>#N/A</v>
      </c>
      <c r="AE6" s="64"/>
      <c r="AF6" s="16" t="e">
        <f>数出表_Excel!Q6</f>
        <v>#N/A</v>
      </c>
      <c r="AG6" s="64"/>
      <c r="AH6" s="16" t="e">
        <f>数出表_Excel!R6</f>
        <v>#N/A</v>
      </c>
      <c r="AI6" s="64"/>
      <c r="AJ6" s="16" t="e">
        <f>数出表_Excel!T6</f>
        <v>#N/A</v>
      </c>
      <c r="AK6" s="64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4"/>
      <c r="D8" s="16" t="e">
        <f>数出表_Excel!C8</f>
        <v>#N/A</v>
      </c>
      <c r="E8" s="64"/>
      <c r="F8" s="16" t="e">
        <f>数出表_Excel!D8</f>
        <v>#N/A</v>
      </c>
      <c r="G8" s="64"/>
      <c r="H8" s="16" t="e">
        <f>数出表_Excel!E8</f>
        <v>#N/A</v>
      </c>
      <c r="I8" s="64"/>
      <c r="J8" s="16" t="e">
        <f>数出表_Excel!F8</f>
        <v>#N/A</v>
      </c>
      <c r="K8" s="64"/>
      <c r="L8" s="16" t="e">
        <f>数出表_Excel!G8</f>
        <v>#N/A</v>
      </c>
      <c r="M8" s="64"/>
      <c r="N8" s="16" t="e">
        <f>数出表_Excel!H8</f>
        <v>#N/A</v>
      </c>
      <c r="O8" s="64"/>
      <c r="P8" s="16" t="e">
        <f>数出表_Excel!I8</f>
        <v>#N/A</v>
      </c>
      <c r="Q8" s="64"/>
      <c r="R8" s="16" t="e">
        <f>数出表_Excel!J8</f>
        <v>#N/A</v>
      </c>
      <c r="S8" s="64"/>
      <c r="T8" s="16" t="e">
        <f>数出表_Excel!K8</f>
        <v>#N/A</v>
      </c>
      <c r="U8" s="64"/>
      <c r="V8" s="16" t="e">
        <f>数出表_Excel!L8</f>
        <v>#N/A</v>
      </c>
      <c r="W8" s="64"/>
      <c r="X8" s="16" t="e">
        <f>数出表_Excel!M8</f>
        <v>#N/A</v>
      </c>
      <c r="Y8" s="64"/>
      <c r="Z8" s="16" t="e">
        <f>数出表_Excel!N8</f>
        <v>#N/A</v>
      </c>
      <c r="AA8" s="64"/>
      <c r="AB8" s="16" t="e">
        <f>数出表_Excel!O8</f>
        <v>#N/A</v>
      </c>
      <c r="AC8" s="64"/>
      <c r="AD8" s="16" t="e">
        <f>数出表_Excel!P8</f>
        <v>#N/A</v>
      </c>
      <c r="AE8" s="64"/>
      <c r="AF8" s="16" t="e">
        <f>数出表_Excel!Q8</f>
        <v>#N/A</v>
      </c>
      <c r="AG8" s="64"/>
      <c r="AH8" s="16" t="e">
        <f>数出表_Excel!R8</f>
        <v>#N/A</v>
      </c>
      <c r="AI8" s="64"/>
      <c r="AJ8" s="16" t="e">
        <f>数出表_Excel!T8</f>
        <v>#N/A</v>
      </c>
      <c r="AK8" s="64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4"/>
      <c r="D10" s="16" t="e">
        <f>数出表_Excel!C10</f>
        <v>#N/A</v>
      </c>
      <c r="E10" s="64"/>
      <c r="F10" s="16" t="e">
        <f>数出表_Excel!D10</f>
        <v>#N/A</v>
      </c>
      <c r="G10" s="64"/>
      <c r="H10" s="16" t="e">
        <f>数出表_Excel!E10</f>
        <v>#N/A</v>
      </c>
      <c r="I10" s="64"/>
      <c r="J10" s="16" t="e">
        <f>数出表_Excel!F10</f>
        <v>#N/A</v>
      </c>
      <c r="K10" s="64"/>
      <c r="L10" s="16" t="e">
        <f>数出表_Excel!G10</f>
        <v>#N/A</v>
      </c>
      <c r="M10" s="64"/>
      <c r="N10" s="16" t="e">
        <f>数出表_Excel!H10</f>
        <v>#N/A</v>
      </c>
      <c r="O10" s="64"/>
      <c r="P10" s="16" t="e">
        <f>数出表_Excel!I10</f>
        <v>#N/A</v>
      </c>
      <c r="Q10" s="64"/>
      <c r="R10" s="16" t="e">
        <f>数出表_Excel!J10</f>
        <v>#N/A</v>
      </c>
      <c r="S10" s="64"/>
      <c r="T10" s="16" t="e">
        <f>数出表_Excel!K10</f>
        <v>#N/A</v>
      </c>
      <c r="U10" s="64"/>
      <c r="V10" s="16" t="e">
        <f>数出表_Excel!L10</f>
        <v>#N/A</v>
      </c>
      <c r="W10" s="64"/>
      <c r="X10" s="16" t="e">
        <f>数出表_Excel!M10</f>
        <v>#N/A</v>
      </c>
      <c r="Y10" s="64"/>
      <c r="Z10" s="16" t="e">
        <f>数出表_Excel!N10</f>
        <v>#N/A</v>
      </c>
      <c r="AA10" s="64"/>
      <c r="AB10" s="16" t="e">
        <f>数出表_Excel!O10</f>
        <v>#N/A</v>
      </c>
      <c r="AC10" s="64"/>
      <c r="AD10" s="16" t="e">
        <f>数出表_Excel!P10</f>
        <v>#N/A</v>
      </c>
      <c r="AE10" s="64"/>
      <c r="AF10" s="16" t="e">
        <f>数出表_Excel!Q10</f>
        <v>#N/A</v>
      </c>
      <c r="AG10" s="64"/>
      <c r="AH10" s="16" t="e">
        <f>数出表_Excel!R10</f>
        <v>#N/A</v>
      </c>
      <c r="AI10" s="64"/>
      <c r="AJ10" s="16" t="e">
        <f>数出表_Excel!T10</f>
        <v>#N/A</v>
      </c>
      <c r="AK10" s="64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4"/>
      <c r="D12" s="16" t="e">
        <f>数出表_Excel!C12</f>
        <v>#N/A</v>
      </c>
      <c r="E12" s="64"/>
      <c r="F12" s="16" t="e">
        <f>数出表_Excel!D12</f>
        <v>#N/A</v>
      </c>
      <c r="G12" s="64"/>
      <c r="H12" s="16" t="e">
        <f>数出表_Excel!E12</f>
        <v>#N/A</v>
      </c>
      <c r="I12" s="64"/>
      <c r="J12" s="16" t="e">
        <f>数出表_Excel!F12</f>
        <v>#N/A</v>
      </c>
      <c r="K12" s="64"/>
      <c r="L12" s="16" t="e">
        <f>数出表_Excel!G12</f>
        <v>#N/A</v>
      </c>
      <c r="M12" s="64"/>
      <c r="N12" s="16" t="e">
        <f>数出表_Excel!H12</f>
        <v>#N/A</v>
      </c>
      <c r="O12" s="64"/>
      <c r="P12" s="16" t="e">
        <f>数出表_Excel!I12</f>
        <v>#N/A</v>
      </c>
      <c r="Q12" s="64"/>
      <c r="R12" s="16" t="e">
        <f>数出表_Excel!J12</f>
        <v>#N/A</v>
      </c>
      <c r="S12" s="64"/>
      <c r="T12" s="16" t="e">
        <f>数出表_Excel!K12</f>
        <v>#N/A</v>
      </c>
      <c r="U12" s="64"/>
      <c r="V12" s="16" t="e">
        <f>数出表_Excel!L12</f>
        <v>#N/A</v>
      </c>
      <c r="W12" s="64"/>
      <c r="X12" s="16" t="e">
        <f>数出表_Excel!M12</f>
        <v>#N/A</v>
      </c>
      <c r="Y12" s="64"/>
      <c r="Z12" s="16" t="e">
        <f>数出表_Excel!N12</f>
        <v>#N/A</v>
      </c>
      <c r="AA12" s="64"/>
      <c r="AB12" s="16" t="e">
        <f>数出表_Excel!O12</f>
        <v>#N/A</v>
      </c>
      <c r="AC12" s="64"/>
      <c r="AD12" s="16" t="e">
        <f>数出表_Excel!P12</f>
        <v>#N/A</v>
      </c>
      <c r="AE12" s="64"/>
      <c r="AF12" s="16" t="e">
        <f>数出表_Excel!Q12</f>
        <v>#N/A</v>
      </c>
      <c r="AG12" s="64"/>
      <c r="AH12" s="16" t="e">
        <f>数出表_Excel!R12</f>
        <v>#N/A</v>
      </c>
      <c r="AI12" s="64"/>
      <c r="AJ12" s="16" t="e">
        <f>数出表_Excel!T12</f>
        <v>#N/A</v>
      </c>
      <c r="AK12" s="64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4"/>
      <c r="D14" s="16" t="e">
        <f>数出表_Excel!C14</f>
        <v>#N/A</v>
      </c>
      <c r="E14" s="64"/>
      <c r="F14" s="16" t="e">
        <f>数出表_Excel!D14</f>
        <v>#N/A</v>
      </c>
      <c r="G14" s="64"/>
      <c r="H14" s="16" t="e">
        <f>数出表_Excel!E14</f>
        <v>#N/A</v>
      </c>
      <c r="I14" s="64"/>
      <c r="J14" s="16" t="e">
        <f>数出表_Excel!F14</f>
        <v>#N/A</v>
      </c>
      <c r="K14" s="64"/>
      <c r="L14" s="16" t="e">
        <f>数出表_Excel!G14</f>
        <v>#N/A</v>
      </c>
      <c r="M14" s="64"/>
      <c r="N14" s="16" t="e">
        <f>数出表_Excel!H14</f>
        <v>#N/A</v>
      </c>
      <c r="O14" s="64"/>
      <c r="P14" s="16" t="e">
        <f>数出表_Excel!I14</f>
        <v>#N/A</v>
      </c>
      <c r="Q14" s="64"/>
      <c r="R14" s="16" t="e">
        <f>数出表_Excel!J14</f>
        <v>#N/A</v>
      </c>
      <c r="S14" s="64"/>
      <c r="T14" s="16" t="e">
        <f>数出表_Excel!K14</f>
        <v>#N/A</v>
      </c>
      <c r="U14" s="64"/>
      <c r="V14" s="16" t="e">
        <f>数出表_Excel!L14</f>
        <v>#N/A</v>
      </c>
      <c r="W14" s="64"/>
      <c r="X14" s="16" t="e">
        <f>数出表_Excel!M14</f>
        <v>#N/A</v>
      </c>
      <c r="Y14" s="64"/>
      <c r="Z14" s="16" t="e">
        <f>数出表_Excel!N14</f>
        <v>#N/A</v>
      </c>
      <c r="AA14" s="64"/>
      <c r="AB14" s="16" t="e">
        <f>数出表_Excel!O14</f>
        <v>#N/A</v>
      </c>
      <c r="AC14" s="64"/>
      <c r="AD14" s="16" t="e">
        <f>数出表_Excel!P14</f>
        <v>#N/A</v>
      </c>
      <c r="AE14" s="64"/>
      <c r="AF14" s="16" t="e">
        <f>数出表_Excel!Q14</f>
        <v>#N/A</v>
      </c>
      <c r="AG14" s="64"/>
      <c r="AH14" s="16" t="e">
        <f>数出表_Excel!R14</f>
        <v>#N/A</v>
      </c>
      <c r="AI14" s="64"/>
      <c r="AJ14" s="16" t="e">
        <f>数出表_Excel!T14</f>
        <v>#N/A</v>
      </c>
      <c r="AK14" s="64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4"/>
      <c r="D16" s="16" t="e">
        <f>数出表_Excel!C16</f>
        <v>#N/A</v>
      </c>
      <c r="E16" s="64"/>
      <c r="F16" s="16" t="e">
        <f>数出表_Excel!D16</f>
        <v>#N/A</v>
      </c>
      <c r="G16" s="64"/>
      <c r="H16" s="16" t="e">
        <f>数出表_Excel!E16</f>
        <v>#N/A</v>
      </c>
      <c r="I16" s="64"/>
      <c r="J16" s="16" t="e">
        <f>数出表_Excel!F16</f>
        <v>#N/A</v>
      </c>
      <c r="K16" s="64"/>
      <c r="L16" s="16" t="e">
        <f>数出表_Excel!G16</f>
        <v>#N/A</v>
      </c>
      <c r="M16" s="64"/>
      <c r="N16" s="16" t="e">
        <f>数出表_Excel!H16</f>
        <v>#N/A</v>
      </c>
      <c r="O16" s="64"/>
      <c r="P16" s="16" t="e">
        <f>数出表_Excel!I16</f>
        <v>#N/A</v>
      </c>
      <c r="Q16" s="64"/>
      <c r="R16" s="16" t="e">
        <f>数出表_Excel!J16</f>
        <v>#N/A</v>
      </c>
      <c r="S16" s="64"/>
      <c r="T16" s="16" t="e">
        <f>数出表_Excel!K16</f>
        <v>#N/A</v>
      </c>
      <c r="U16" s="64"/>
      <c r="V16" s="16" t="e">
        <f>数出表_Excel!L16</f>
        <v>#N/A</v>
      </c>
      <c r="W16" s="64"/>
      <c r="X16" s="16" t="e">
        <f>数出表_Excel!M16</f>
        <v>#N/A</v>
      </c>
      <c r="Y16" s="64"/>
      <c r="Z16" s="16" t="e">
        <f>数出表_Excel!N16</f>
        <v>#N/A</v>
      </c>
      <c r="AA16" s="64"/>
      <c r="AB16" s="16" t="e">
        <f>数出表_Excel!O16</f>
        <v>#N/A</v>
      </c>
      <c r="AC16" s="64"/>
      <c r="AD16" s="16" t="e">
        <f>数出表_Excel!P16</f>
        <v>#N/A</v>
      </c>
      <c r="AE16" s="64"/>
      <c r="AF16" s="16" t="e">
        <f>数出表_Excel!Q16</f>
        <v>#N/A</v>
      </c>
      <c r="AG16" s="64"/>
      <c r="AH16" s="16" t="e">
        <f>数出表_Excel!R16</f>
        <v>#N/A</v>
      </c>
      <c r="AI16" s="64"/>
      <c r="AJ16" s="16" t="e">
        <f>数出表_Excel!T16</f>
        <v>#N/A</v>
      </c>
      <c r="AK16" s="64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4"/>
      <c r="D18" s="16" t="e">
        <f>数出表_Excel!C18</f>
        <v>#N/A</v>
      </c>
      <c r="E18" s="64"/>
      <c r="F18" s="16" t="e">
        <f>数出表_Excel!D18</f>
        <v>#N/A</v>
      </c>
      <c r="G18" s="64"/>
      <c r="H18" s="16" t="e">
        <f>数出表_Excel!E18</f>
        <v>#N/A</v>
      </c>
      <c r="I18" s="64"/>
      <c r="J18" s="16" t="e">
        <f>数出表_Excel!F18</f>
        <v>#N/A</v>
      </c>
      <c r="K18" s="64"/>
      <c r="L18" s="16" t="e">
        <f>数出表_Excel!G18</f>
        <v>#N/A</v>
      </c>
      <c r="M18" s="64"/>
      <c r="N18" s="16" t="e">
        <f>数出表_Excel!H18</f>
        <v>#N/A</v>
      </c>
      <c r="O18" s="64"/>
      <c r="P18" s="16" t="e">
        <f>数出表_Excel!I18</f>
        <v>#N/A</v>
      </c>
      <c r="Q18" s="64"/>
      <c r="R18" s="16" t="e">
        <f>数出表_Excel!J18</f>
        <v>#N/A</v>
      </c>
      <c r="S18" s="64"/>
      <c r="T18" s="16" t="e">
        <f>数出表_Excel!K18</f>
        <v>#N/A</v>
      </c>
      <c r="U18" s="64"/>
      <c r="V18" s="16" t="e">
        <f>数出表_Excel!L18</f>
        <v>#N/A</v>
      </c>
      <c r="W18" s="64"/>
      <c r="X18" s="16" t="e">
        <f>数出表_Excel!M18</f>
        <v>#N/A</v>
      </c>
      <c r="Y18" s="64"/>
      <c r="Z18" s="16" t="e">
        <f>数出表_Excel!N18</f>
        <v>#N/A</v>
      </c>
      <c r="AA18" s="64"/>
      <c r="AB18" s="16" t="e">
        <f>数出表_Excel!O18</f>
        <v>#N/A</v>
      </c>
      <c r="AC18" s="64"/>
      <c r="AD18" s="16" t="e">
        <f>数出表_Excel!P18</f>
        <v>#N/A</v>
      </c>
      <c r="AE18" s="64"/>
      <c r="AF18" s="16" t="e">
        <f>数出表_Excel!Q18</f>
        <v>#N/A</v>
      </c>
      <c r="AG18" s="64"/>
      <c r="AH18" s="16" t="e">
        <f>数出表_Excel!R18</f>
        <v>#N/A</v>
      </c>
      <c r="AI18" s="64"/>
      <c r="AJ18" s="16" t="e">
        <f>数出表_Excel!T18</f>
        <v>#N/A</v>
      </c>
      <c r="AK18" s="64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4"/>
      <c r="D20" s="16" t="e">
        <f>数出表_Excel!C20</f>
        <v>#N/A</v>
      </c>
      <c r="E20" s="64"/>
      <c r="F20" s="16" t="e">
        <f>数出表_Excel!D20</f>
        <v>#N/A</v>
      </c>
      <c r="G20" s="64"/>
      <c r="H20" s="16" t="e">
        <f>数出表_Excel!E20</f>
        <v>#N/A</v>
      </c>
      <c r="I20" s="64"/>
      <c r="J20" s="16" t="e">
        <f>数出表_Excel!F20</f>
        <v>#N/A</v>
      </c>
      <c r="K20" s="64"/>
      <c r="L20" s="16" t="e">
        <f>数出表_Excel!G20</f>
        <v>#N/A</v>
      </c>
      <c r="M20" s="64"/>
      <c r="N20" s="16" t="e">
        <f>数出表_Excel!H20</f>
        <v>#N/A</v>
      </c>
      <c r="O20" s="64"/>
      <c r="P20" s="16" t="e">
        <f>数出表_Excel!I20</f>
        <v>#N/A</v>
      </c>
      <c r="Q20" s="64"/>
      <c r="R20" s="16" t="e">
        <f>数出表_Excel!J20</f>
        <v>#N/A</v>
      </c>
      <c r="S20" s="64"/>
      <c r="T20" s="16" t="e">
        <f>数出表_Excel!K20</f>
        <v>#N/A</v>
      </c>
      <c r="U20" s="64"/>
      <c r="V20" s="16" t="e">
        <f>数出表_Excel!L20</f>
        <v>#N/A</v>
      </c>
      <c r="W20" s="64"/>
      <c r="X20" s="16" t="e">
        <f>数出表_Excel!M20</f>
        <v>#N/A</v>
      </c>
      <c r="Y20" s="64"/>
      <c r="Z20" s="16" t="e">
        <f>数出表_Excel!N20</f>
        <v>#N/A</v>
      </c>
      <c r="AA20" s="64"/>
      <c r="AB20" s="16" t="e">
        <f>数出表_Excel!O20</f>
        <v>#N/A</v>
      </c>
      <c r="AC20" s="64"/>
      <c r="AD20" s="16" t="e">
        <f>数出表_Excel!P20</f>
        <v>#N/A</v>
      </c>
      <c r="AE20" s="64"/>
      <c r="AF20" s="16" t="e">
        <f>数出表_Excel!Q20</f>
        <v>#N/A</v>
      </c>
      <c r="AG20" s="64"/>
      <c r="AH20" s="16" t="e">
        <f>数出表_Excel!R20</f>
        <v>#N/A</v>
      </c>
      <c r="AI20" s="64"/>
      <c r="AJ20" s="16" t="e">
        <f>数出表_Excel!T20</f>
        <v>#N/A</v>
      </c>
      <c r="AK20" s="64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4"/>
      <c r="D22" s="16" t="e">
        <f>数出表_Excel!C22</f>
        <v>#N/A</v>
      </c>
      <c r="E22" s="64"/>
      <c r="F22" s="16" t="e">
        <f>数出表_Excel!D22</f>
        <v>#N/A</v>
      </c>
      <c r="G22" s="64"/>
      <c r="H22" s="16" t="e">
        <f>数出表_Excel!E22</f>
        <v>#N/A</v>
      </c>
      <c r="I22" s="64"/>
      <c r="J22" s="16" t="e">
        <f>数出表_Excel!F22</f>
        <v>#N/A</v>
      </c>
      <c r="K22" s="64"/>
      <c r="L22" s="16" t="e">
        <f>数出表_Excel!G22</f>
        <v>#N/A</v>
      </c>
      <c r="M22" s="64"/>
      <c r="N22" s="16" t="e">
        <f>数出表_Excel!H22</f>
        <v>#N/A</v>
      </c>
      <c r="O22" s="64"/>
      <c r="P22" s="16" t="e">
        <f>数出表_Excel!I22</f>
        <v>#N/A</v>
      </c>
      <c r="Q22" s="64"/>
      <c r="R22" s="16" t="e">
        <f>数出表_Excel!J22</f>
        <v>#N/A</v>
      </c>
      <c r="S22" s="64"/>
      <c r="T22" s="16" t="e">
        <f>数出表_Excel!K22</f>
        <v>#N/A</v>
      </c>
      <c r="U22" s="64"/>
      <c r="V22" s="16" t="e">
        <f>数出表_Excel!L22</f>
        <v>#N/A</v>
      </c>
      <c r="W22" s="64"/>
      <c r="X22" s="16" t="e">
        <f>数出表_Excel!M22</f>
        <v>#N/A</v>
      </c>
      <c r="Y22" s="64"/>
      <c r="Z22" s="16" t="e">
        <f>数出表_Excel!N22</f>
        <v>#N/A</v>
      </c>
      <c r="AA22" s="64"/>
      <c r="AB22" s="16" t="e">
        <f>数出表_Excel!O22</f>
        <v>#N/A</v>
      </c>
      <c r="AC22" s="64"/>
      <c r="AD22" s="16" t="e">
        <f>数出表_Excel!P22</f>
        <v>#N/A</v>
      </c>
      <c r="AE22" s="64"/>
      <c r="AF22" s="16" t="e">
        <f>数出表_Excel!Q22</f>
        <v>#N/A</v>
      </c>
      <c r="AG22" s="64"/>
      <c r="AH22" s="16" t="e">
        <f>数出表_Excel!R22</f>
        <v>#N/A</v>
      </c>
      <c r="AI22" s="64"/>
      <c r="AJ22" s="16" t="e">
        <f>数出表_Excel!T22</f>
        <v>#N/A</v>
      </c>
      <c r="AK22" s="64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4"/>
      <c r="D24" s="16" t="e">
        <f>数出表_Excel!C24</f>
        <v>#N/A</v>
      </c>
      <c r="E24" s="64"/>
      <c r="F24" s="16" t="e">
        <f>数出表_Excel!D24</f>
        <v>#N/A</v>
      </c>
      <c r="G24" s="64"/>
      <c r="H24" s="16" t="e">
        <f>数出表_Excel!E24</f>
        <v>#N/A</v>
      </c>
      <c r="I24" s="64"/>
      <c r="J24" s="16" t="e">
        <f>数出表_Excel!F24</f>
        <v>#N/A</v>
      </c>
      <c r="K24" s="64"/>
      <c r="L24" s="16" t="e">
        <f>数出表_Excel!G24</f>
        <v>#N/A</v>
      </c>
      <c r="M24" s="64"/>
      <c r="N24" s="16" t="e">
        <f>数出表_Excel!H24</f>
        <v>#N/A</v>
      </c>
      <c r="O24" s="64"/>
      <c r="P24" s="16" t="e">
        <f>数出表_Excel!I24</f>
        <v>#N/A</v>
      </c>
      <c r="Q24" s="64"/>
      <c r="R24" s="16" t="e">
        <f>数出表_Excel!J24</f>
        <v>#N/A</v>
      </c>
      <c r="S24" s="64"/>
      <c r="T24" s="16" t="e">
        <f>数出表_Excel!K24</f>
        <v>#N/A</v>
      </c>
      <c r="U24" s="64"/>
      <c r="V24" s="16" t="e">
        <f>数出表_Excel!L24</f>
        <v>#N/A</v>
      </c>
      <c r="W24" s="64"/>
      <c r="X24" s="16" t="e">
        <f>数出表_Excel!M24</f>
        <v>#N/A</v>
      </c>
      <c r="Y24" s="64"/>
      <c r="Z24" s="16" t="e">
        <f>数出表_Excel!N24</f>
        <v>#N/A</v>
      </c>
      <c r="AA24" s="64"/>
      <c r="AB24" s="16" t="e">
        <f>数出表_Excel!O24</f>
        <v>#N/A</v>
      </c>
      <c r="AC24" s="64"/>
      <c r="AD24" s="16" t="e">
        <f>数出表_Excel!P24</f>
        <v>#N/A</v>
      </c>
      <c r="AE24" s="64"/>
      <c r="AF24" s="16" t="e">
        <f>数出表_Excel!Q24</f>
        <v>#N/A</v>
      </c>
      <c r="AG24" s="64"/>
      <c r="AH24" s="16" t="e">
        <f>数出表_Excel!R24</f>
        <v>#N/A</v>
      </c>
      <c r="AI24" s="64"/>
      <c r="AJ24" s="16" t="e">
        <f>数出表_Excel!T24</f>
        <v>#N/A</v>
      </c>
      <c r="AK24" s="64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4"/>
      <c r="D26" s="16" t="e">
        <f>数出表_Excel!C26</f>
        <v>#N/A</v>
      </c>
      <c r="E26" s="64"/>
      <c r="F26" s="16" t="e">
        <f>数出表_Excel!D26</f>
        <v>#N/A</v>
      </c>
      <c r="G26" s="64"/>
      <c r="H26" s="16" t="e">
        <f>数出表_Excel!E26</f>
        <v>#N/A</v>
      </c>
      <c r="I26" s="64"/>
      <c r="J26" s="16" t="e">
        <f>数出表_Excel!F26</f>
        <v>#N/A</v>
      </c>
      <c r="K26" s="64"/>
      <c r="L26" s="16" t="e">
        <f>数出表_Excel!G26</f>
        <v>#N/A</v>
      </c>
      <c r="M26" s="64"/>
      <c r="N26" s="16" t="e">
        <f>数出表_Excel!H26</f>
        <v>#N/A</v>
      </c>
      <c r="O26" s="64"/>
      <c r="P26" s="16" t="e">
        <f>数出表_Excel!I26</f>
        <v>#N/A</v>
      </c>
      <c r="Q26" s="64"/>
      <c r="R26" s="16" t="e">
        <f>数出表_Excel!J26</f>
        <v>#N/A</v>
      </c>
      <c r="S26" s="64"/>
      <c r="T26" s="16" t="e">
        <f>数出表_Excel!K26</f>
        <v>#N/A</v>
      </c>
      <c r="U26" s="64"/>
      <c r="V26" s="16" t="e">
        <f>数出表_Excel!L26</f>
        <v>#N/A</v>
      </c>
      <c r="W26" s="64"/>
      <c r="X26" s="16" t="e">
        <f>数出表_Excel!M26</f>
        <v>#N/A</v>
      </c>
      <c r="Y26" s="64"/>
      <c r="Z26" s="16" t="e">
        <f>数出表_Excel!N26</f>
        <v>#N/A</v>
      </c>
      <c r="AA26" s="64"/>
      <c r="AB26" s="16" t="e">
        <f>数出表_Excel!O26</f>
        <v>#N/A</v>
      </c>
      <c r="AC26" s="64"/>
      <c r="AD26" s="16" t="e">
        <f>数出表_Excel!P26</f>
        <v>#N/A</v>
      </c>
      <c r="AE26" s="64"/>
      <c r="AF26" s="16" t="e">
        <f>数出表_Excel!Q26</f>
        <v>#N/A</v>
      </c>
      <c r="AG26" s="64"/>
      <c r="AH26" s="16" t="e">
        <f>数出表_Excel!R26</f>
        <v>#N/A</v>
      </c>
      <c r="AI26" s="64"/>
      <c r="AJ26" s="16" t="e">
        <f>数出表_Excel!T26</f>
        <v>#N/A</v>
      </c>
      <c r="AK26" s="64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4"/>
      <c r="D28" s="16" t="e">
        <f>数出表_Excel!C28</f>
        <v>#N/A</v>
      </c>
      <c r="E28" s="64"/>
      <c r="F28" s="16" t="e">
        <f>数出表_Excel!D28</f>
        <v>#N/A</v>
      </c>
      <c r="G28" s="64"/>
      <c r="H28" s="16" t="e">
        <f>数出表_Excel!E28</f>
        <v>#N/A</v>
      </c>
      <c r="I28" s="64"/>
      <c r="J28" s="16" t="e">
        <f>数出表_Excel!F28</f>
        <v>#N/A</v>
      </c>
      <c r="K28" s="64"/>
      <c r="L28" s="16" t="e">
        <f>数出表_Excel!G28</f>
        <v>#N/A</v>
      </c>
      <c r="M28" s="64"/>
      <c r="N28" s="16" t="e">
        <f>数出表_Excel!H28</f>
        <v>#N/A</v>
      </c>
      <c r="O28" s="64"/>
      <c r="P28" s="16" t="e">
        <f>数出表_Excel!I28</f>
        <v>#N/A</v>
      </c>
      <c r="Q28" s="64"/>
      <c r="R28" s="16" t="e">
        <f>数出表_Excel!J28</f>
        <v>#N/A</v>
      </c>
      <c r="S28" s="64"/>
      <c r="T28" s="16" t="e">
        <f>数出表_Excel!K28</f>
        <v>#N/A</v>
      </c>
      <c r="U28" s="64"/>
      <c r="V28" s="16" t="e">
        <f>数出表_Excel!L28</f>
        <v>#N/A</v>
      </c>
      <c r="W28" s="64"/>
      <c r="X28" s="16" t="e">
        <f>数出表_Excel!M28</f>
        <v>#N/A</v>
      </c>
      <c r="Y28" s="64"/>
      <c r="Z28" s="16" t="e">
        <f>数出表_Excel!N28</f>
        <v>#N/A</v>
      </c>
      <c r="AA28" s="64"/>
      <c r="AB28" s="16" t="e">
        <f>数出表_Excel!O28</f>
        <v>#N/A</v>
      </c>
      <c r="AC28" s="64"/>
      <c r="AD28" s="16" t="e">
        <f>数出表_Excel!P28</f>
        <v>#N/A</v>
      </c>
      <c r="AE28" s="64"/>
      <c r="AF28" s="16" t="e">
        <f>数出表_Excel!Q28</f>
        <v>#N/A</v>
      </c>
      <c r="AG28" s="64"/>
      <c r="AH28" s="16" t="e">
        <f>数出表_Excel!R28</f>
        <v>#N/A</v>
      </c>
      <c r="AI28" s="64"/>
      <c r="AJ28" s="16" t="e">
        <f>数出表_Excel!T28</f>
        <v>#N/A</v>
      </c>
      <c r="AK28" s="64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4"/>
      <c r="D30" s="16" t="e">
        <f>数出表_Excel!C30</f>
        <v>#N/A</v>
      </c>
      <c r="E30" s="64"/>
      <c r="F30" s="16" t="e">
        <f>数出表_Excel!D30</f>
        <v>#N/A</v>
      </c>
      <c r="G30" s="64"/>
      <c r="H30" s="16" t="e">
        <f>数出表_Excel!E30</f>
        <v>#N/A</v>
      </c>
      <c r="I30" s="64"/>
      <c r="J30" s="16" t="e">
        <f>数出表_Excel!F30</f>
        <v>#N/A</v>
      </c>
      <c r="K30" s="64"/>
      <c r="L30" s="16" t="e">
        <f>数出表_Excel!G30</f>
        <v>#N/A</v>
      </c>
      <c r="M30" s="64"/>
      <c r="N30" s="16" t="e">
        <f>数出表_Excel!H30</f>
        <v>#N/A</v>
      </c>
      <c r="O30" s="64"/>
      <c r="P30" s="16" t="e">
        <f>数出表_Excel!I30</f>
        <v>#N/A</v>
      </c>
      <c r="Q30" s="64"/>
      <c r="R30" s="16" t="e">
        <f>数出表_Excel!J30</f>
        <v>#N/A</v>
      </c>
      <c r="S30" s="64"/>
      <c r="T30" s="16" t="e">
        <f>数出表_Excel!K30</f>
        <v>#N/A</v>
      </c>
      <c r="U30" s="64"/>
      <c r="V30" s="16" t="e">
        <f>数出表_Excel!L30</f>
        <v>#N/A</v>
      </c>
      <c r="W30" s="64"/>
      <c r="X30" s="16" t="e">
        <f>数出表_Excel!M30</f>
        <v>#N/A</v>
      </c>
      <c r="Y30" s="64"/>
      <c r="Z30" s="16" t="e">
        <f>数出表_Excel!N30</f>
        <v>#N/A</v>
      </c>
      <c r="AA30" s="64"/>
      <c r="AB30" s="16" t="e">
        <f>数出表_Excel!O30</f>
        <v>#N/A</v>
      </c>
      <c r="AC30" s="64"/>
      <c r="AD30" s="16" t="e">
        <f>数出表_Excel!P30</f>
        <v>#N/A</v>
      </c>
      <c r="AE30" s="64"/>
      <c r="AF30" s="16" t="e">
        <f>数出表_Excel!Q30</f>
        <v>#N/A</v>
      </c>
      <c r="AG30" s="64"/>
      <c r="AH30" s="16" t="e">
        <f>数出表_Excel!R30</f>
        <v>#N/A</v>
      </c>
      <c r="AI30" s="64"/>
      <c r="AJ30" s="16" t="e">
        <f>数出表_Excel!T30</f>
        <v>#N/A</v>
      </c>
      <c r="AK30" s="64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4"/>
      <c r="D32" s="16" t="e">
        <f>数出表_Excel!C32</f>
        <v>#N/A</v>
      </c>
      <c r="E32" s="64"/>
      <c r="F32" s="16" t="e">
        <f>数出表_Excel!D32</f>
        <v>#N/A</v>
      </c>
      <c r="G32" s="64"/>
      <c r="H32" s="16" t="e">
        <f>数出表_Excel!E32</f>
        <v>#N/A</v>
      </c>
      <c r="I32" s="64"/>
      <c r="J32" s="16" t="e">
        <f>数出表_Excel!F32</f>
        <v>#N/A</v>
      </c>
      <c r="K32" s="64"/>
      <c r="L32" s="16" t="e">
        <f>数出表_Excel!G32</f>
        <v>#N/A</v>
      </c>
      <c r="M32" s="64"/>
      <c r="N32" s="16" t="e">
        <f>数出表_Excel!H32</f>
        <v>#N/A</v>
      </c>
      <c r="O32" s="64"/>
      <c r="P32" s="16" t="e">
        <f>数出表_Excel!I32</f>
        <v>#N/A</v>
      </c>
      <c r="Q32" s="64"/>
      <c r="R32" s="16" t="e">
        <f>数出表_Excel!J32</f>
        <v>#N/A</v>
      </c>
      <c r="S32" s="64"/>
      <c r="T32" s="16" t="e">
        <f>数出表_Excel!K32</f>
        <v>#N/A</v>
      </c>
      <c r="U32" s="64"/>
      <c r="V32" s="16" t="e">
        <f>数出表_Excel!L32</f>
        <v>#N/A</v>
      </c>
      <c r="W32" s="64"/>
      <c r="X32" s="16" t="e">
        <f>数出表_Excel!M32</f>
        <v>#N/A</v>
      </c>
      <c r="Y32" s="64"/>
      <c r="Z32" s="16" t="e">
        <f>数出表_Excel!N32</f>
        <v>#N/A</v>
      </c>
      <c r="AA32" s="64"/>
      <c r="AB32" s="16" t="e">
        <f>数出表_Excel!O32</f>
        <v>#N/A</v>
      </c>
      <c r="AC32" s="64"/>
      <c r="AD32" s="16" t="e">
        <f>数出表_Excel!P32</f>
        <v>#N/A</v>
      </c>
      <c r="AE32" s="64"/>
      <c r="AF32" s="16" t="e">
        <f>数出表_Excel!Q32</f>
        <v>#N/A</v>
      </c>
      <c r="AG32" s="64"/>
      <c r="AH32" s="16" t="e">
        <f>数出表_Excel!R32</f>
        <v>#N/A</v>
      </c>
      <c r="AI32" s="64"/>
      <c r="AJ32" s="16" t="e">
        <f>数出表_Excel!T32</f>
        <v>#N/A</v>
      </c>
      <c r="AK32" s="64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4"/>
      <c r="D34" s="16" t="e">
        <f>数出表_Excel!C34</f>
        <v>#N/A</v>
      </c>
      <c r="E34" s="64"/>
      <c r="F34" s="16" t="e">
        <f>数出表_Excel!D34</f>
        <v>#N/A</v>
      </c>
      <c r="G34" s="64"/>
      <c r="H34" s="16" t="e">
        <f>数出表_Excel!E34</f>
        <v>#N/A</v>
      </c>
      <c r="I34" s="64"/>
      <c r="J34" s="16" t="e">
        <f>数出表_Excel!F34</f>
        <v>#N/A</v>
      </c>
      <c r="K34" s="64"/>
      <c r="L34" s="16" t="e">
        <f>数出表_Excel!G34</f>
        <v>#N/A</v>
      </c>
      <c r="M34" s="64"/>
      <c r="N34" s="16" t="e">
        <f>数出表_Excel!H34</f>
        <v>#N/A</v>
      </c>
      <c r="O34" s="64"/>
      <c r="P34" s="16" t="e">
        <f>数出表_Excel!I34</f>
        <v>#N/A</v>
      </c>
      <c r="Q34" s="64"/>
      <c r="R34" s="16" t="e">
        <f>数出表_Excel!J34</f>
        <v>#N/A</v>
      </c>
      <c r="S34" s="64"/>
      <c r="T34" s="16" t="e">
        <f>数出表_Excel!K34</f>
        <v>#N/A</v>
      </c>
      <c r="U34" s="64"/>
      <c r="V34" s="16" t="e">
        <f>数出表_Excel!L34</f>
        <v>#N/A</v>
      </c>
      <c r="W34" s="64"/>
      <c r="X34" s="16" t="e">
        <f>数出表_Excel!M34</f>
        <v>#N/A</v>
      </c>
      <c r="Y34" s="64"/>
      <c r="Z34" s="16" t="e">
        <f>数出表_Excel!N34</f>
        <v>#N/A</v>
      </c>
      <c r="AA34" s="64"/>
      <c r="AB34" s="16" t="e">
        <f>数出表_Excel!O34</f>
        <v>#N/A</v>
      </c>
      <c r="AC34" s="64"/>
      <c r="AD34" s="16" t="e">
        <f>数出表_Excel!P34</f>
        <v>#N/A</v>
      </c>
      <c r="AE34" s="64"/>
      <c r="AF34" s="16" t="e">
        <f>数出表_Excel!Q34</f>
        <v>#N/A</v>
      </c>
      <c r="AG34" s="64"/>
      <c r="AH34" s="16" t="e">
        <f>数出表_Excel!R34</f>
        <v>#N/A</v>
      </c>
      <c r="AI34" s="64"/>
      <c r="AJ34" s="16" t="e">
        <f>数出表_Excel!T34</f>
        <v>#N/A</v>
      </c>
      <c r="AK34" s="64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4"/>
      <c r="D36" s="16" t="e">
        <f>数出表_Excel!C36</f>
        <v>#N/A</v>
      </c>
      <c r="E36" s="64"/>
      <c r="F36" s="16" t="e">
        <f>数出表_Excel!D36</f>
        <v>#N/A</v>
      </c>
      <c r="G36" s="64"/>
      <c r="H36" s="16" t="e">
        <f>数出表_Excel!E36</f>
        <v>#N/A</v>
      </c>
      <c r="I36" s="64"/>
      <c r="J36" s="16" t="e">
        <f>数出表_Excel!F36</f>
        <v>#N/A</v>
      </c>
      <c r="K36" s="64"/>
      <c r="L36" s="16" t="e">
        <f>数出表_Excel!G36</f>
        <v>#N/A</v>
      </c>
      <c r="M36" s="64"/>
      <c r="N36" s="16" t="e">
        <f>数出表_Excel!H36</f>
        <v>#N/A</v>
      </c>
      <c r="O36" s="64"/>
      <c r="P36" s="16" t="e">
        <f>数出表_Excel!I36</f>
        <v>#N/A</v>
      </c>
      <c r="Q36" s="64"/>
      <c r="R36" s="16" t="e">
        <f>数出表_Excel!J36</f>
        <v>#N/A</v>
      </c>
      <c r="S36" s="64"/>
      <c r="T36" s="16" t="e">
        <f>数出表_Excel!K36</f>
        <v>#N/A</v>
      </c>
      <c r="U36" s="64"/>
      <c r="V36" s="16" t="e">
        <f>数出表_Excel!L36</f>
        <v>#N/A</v>
      </c>
      <c r="W36" s="64"/>
      <c r="X36" s="16" t="e">
        <f>数出表_Excel!M36</f>
        <v>#N/A</v>
      </c>
      <c r="Y36" s="64"/>
      <c r="Z36" s="16" t="e">
        <f>数出表_Excel!N36</f>
        <v>#N/A</v>
      </c>
      <c r="AA36" s="64"/>
      <c r="AB36" s="16" t="e">
        <f>数出表_Excel!O36</f>
        <v>#N/A</v>
      </c>
      <c r="AC36" s="64"/>
      <c r="AD36" s="16" t="e">
        <f>数出表_Excel!P36</f>
        <v>#N/A</v>
      </c>
      <c r="AE36" s="64"/>
      <c r="AF36" s="16" t="e">
        <f>数出表_Excel!Q36</f>
        <v>#N/A</v>
      </c>
      <c r="AG36" s="64"/>
      <c r="AH36" s="16" t="e">
        <f>数出表_Excel!R36</f>
        <v>#N/A</v>
      </c>
      <c r="AI36" s="64"/>
      <c r="AJ36" s="16" t="e">
        <f>数出表_Excel!T36</f>
        <v>#N/A</v>
      </c>
      <c r="AK36" s="64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4"/>
      <c r="D38" s="16" t="e">
        <f>数出表_Excel!C38</f>
        <v>#N/A</v>
      </c>
      <c r="E38" s="64"/>
      <c r="F38" s="16" t="e">
        <f>数出表_Excel!D38</f>
        <v>#N/A</v>
      </c>
      <c r="G38" s="64"/>
      <c r="H38" s="16" t="e">
        <f>数出表_Excel!E38</f>
        <v>#N/A</v>
      </c>
      <c r="I38" s="64"/>
      <c r="J38" s="16" t="e">
        <f>数出表_Excel!F38</f>
        <v>#N/A</v>
      </c>
      <c r="K38" s="64"/>
      <c r="L38" s="16" t="e">
        <f>数出表_Excel!G38</f>
        <v>#N/A</v>
      </c>
      <c r="M38" s="64"/>
      <c r="N38" s="16" t="e">
        <f>数出表_Excel!H38</f>
        <v>#N/A</v>
      </c>
      <c r="O38" s="64"/>
      <c r="P38" s="16" t="e">
        <f>数出表_Excel!I38</f>
        <v>#N/A</v>
      </c>
      <c r="Q38" s="64"/>
      <c r="R38" s="16" t="e">
        <f>数出表_Excel!J38</f>
        <v>#N/A</v>
      </c>
      <c r="S38" s="64"/>
      <c r="T38" s="16" t="e">
        <f>数出表_Excel!K38</f>
        <v>#N/A</v>
      </c>
      <c r="U38" s="64"/>
      <c r="V38" s="16" t="e">
        <f>数出表_Excel!L38</f>
        <v>#N/A</v>
      </c>
      <c r="W38" s="64"/>
      <c r="X38" s="16" t="e">
        <f>数出表_Excel!M38</f>
        <v>#N/A</v>
      </c>
      <c r="Y38" s="64"/>
      <c r="Z38" s="16" t="e">
        <f>数出表_Excel!N38</f>
        <v>#N/A</v>
      </c>
      <c r="AA38" s="64"/>
      <c r="AB38" s="16" t="e">
        <f>数出表_Excel!O38</f>
        <v>#N/A</v>
      </c>
      <c r="AC38" s="64"/>
      <c r="AD38" s="16" t="e">
        <f>数出表_Excel!P38</f>
        <v>#N/A</v>
      </c>
      <c r="AE38" s="64"/>
      <c r="AF38" s="16" t="e">
        <f>数出表_Excel!Q38</f>
        <v>#N/A</v>
      </c>
      <c r="AG38" s="64"/>
      <c r="AH38" s="16" t="e">
        <f>数出表_Excel!R38</f>
        <v>#N/A</v>
      </c>
      <c r="AI38" s="64"/>
      <c r="AJ38" s="16" t="e">
        <f>数出表_Excel!T38</f>
        <v>#N/A</v>
      </c>
      <c r="AK38" s="64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4"/>
      <c r="D40" s="16" t="e">
        <f>数出表_Excel!C40</f>
        <v>#N/A</v>
      </c>
      <c r="E40" s="64"/>
      <c r="F40" s="16" t="e">
        <f>数出表_Excel!D40</f>
        <v>#N/A</v>
      </c>
      <c r="G40" s="64"/>
      <c r="H40" s="16" t="e">
        <f>数出表_Excel!E40</f>
        <v>#N/A</v>
      </c>
      <c r="I40" s="64"/>
      <c r="J40" s="16" t="e">
        <f>数出表_Excel!F40</f>
        <v>#N/A</v>
      </c>
      <c r="K40" s="64"/>
      <c r="L40" s="16" t="e">
        <f>数出表_Excel!G40</f>
        <v>#N/A</v>
      </c>
      <c r="M40" s="64"/>
      <c r="N40" s="16" t="e">
        <f>数出表_Excel!H40</f>
        <v>#N/A</v>
      </c>
      <c r="O40" s="64"/>
      <c r="P40" s="16" t="e">
        <f>数出表_Excel!I40</f>
        <v>#N/A</v>
      </c>
      <c r="Q40" s="64"/>
      <c r="R40" s="16" t="e">
        <f>数出表_Excel!J40</f>
        <v>#N/A</v>
      </c>
      <c r="S40" s="64"/>
      <c r="T40" s="16" t="e">
        <f>数出表_Excel!K40</f>
        <v>#N/A</v>
      </c>
      <c r="U40" s="64"/>
      <c r="V40" s="16" t="e">
        <f>数出表_Excel!L40</f>
        <v>#N/A</v>
      </c>
      <c r="W40" s="64"/>
      <c r="X40" s="16" t="e">
        <f>数出表_Excel!M40</f>
        <v>#N/A</v>
      </c>
      <c r="Y40" s="64"/>
      <c r="Z40" s="16" t="e">
        <f>数出表_Excel!N40</f>
        <v>#N/A</v>
      </c>
      <c r="AA40" s="64"/>
      <c r="AB40" s="16" t="e">
        <f>数出表_Excel!O40</f>
        <v>#N/A</v>
      </c>
      <c r="AC40" s="64"/>
      <c r="AD40" s="16" t="e">
        <f>数出表_Excel!P40</f>
        <v>#N/A</v>
      </c>
      <c r="AE40" s="64"/>
      <c r="AF40" s="16" t="e">
        <f>数出表_Excel!Q40</f>
        <v>#N/A</v>
      </c>
      <c r="AG40" s="64"/>
      <c r="AH40" s="16" t="e">
        <f>数出表_Excel!R40</f>
        <v>#N/A</v>
      </c>
      <c r="AI40" s="64"/>
      <c r="AJ40" s="16" t="e">
        <f>数出表_Excel!T40</f>
        <v>#N/A</v>
      </c>
      <c r="AK40" s="64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4"/>
      <c r="D42" s="16" t="e">
        <f>数出表_Excel!C42</f>
        <v>#N/A</v>
      </c>
      <c r="E42" s="64"/>
      <c r="F42" s="16" t="e">
        <f>数出表_Excel!D42</f>
        <v>#N/A</v>
      </c>
      <c r="G42" s="64"/>
      <c r="H42" s="16" t="e">
        <f>数出表_Excel!E42</f>
        <v>#N/A</v>
      </c>
      <c r="I42" s="64"/>
      <c r="J42" s="16" t="e">
        <f>数出表_Excel!F42</f>
        <v>#N/A</v>
      </c>
      <c r="K42" s="64"/>
      <c r="L42" s="16" t="e">
        <f>数出表_Excel!G42</f>
        <v>#N/A</v>
      </c>
      <c r="M42" s="64"/>
      <c r="N42" s="16" t="e">
        <f>数出表_Excel!H42</f>
        <v>#N/A</v>
      </c>
      <c r="O42" s="64"/>
      <c r="P42" s="16" t="e">
        <f>数出表_Excel!I42</f>
        <v>#N/A</v>
      </c>
      <c r="Q42" s="64"/>
      <c r="R42" s="16" t="e">
        <f>数出表_Excel!J42</f>
        <v>#N/A</v>
      </c>
      <c r="S42" s="64"/>
      <c r="T42" s="16" t="e">
        <f>数出表_Excel!K42</f>
        <v>#N/A</v>
      </c>
      <c r="U42" s="64"/>
      <c r="V42" s="16" t="e">
        <f>数出表_Excel!L42</f>
        <v>#N/A</v>
      </c>
      <c r="W42" s="64"/>
      <c r="X42" s="16" t="e">
        <f>数出表_Excel!M42</f>
        <v>#N/A</v>
      </c>
      <c r="Y42" s="64"/>
      <c r="Z42" s="16" t="e">
        <f>数出表_Excel!N42</f>
        <v>#N/A</v>
      </c>
      <c r="AA42" s="64"/>
      <c r="AB42" s="16" t="e">
        <f>数出表_Excel!O42</f>
        <v>#N/A</v>
      </c>
      <c r="AC42" s="64"/>
      <c r="AD42" s="16" t="e">
        <f>数出表_Excel!P42</f>
        <v>#N/A</v>
      </c>
      <c r="AE42" s="64"/>
      <c r="AF42" s="16" t="e">
        <f>数出表_Excel!Q42</f>
        <v>#N/A</v>
      </c>
      <c r="AG42" s="64"/>
      <c r="AH42" s="16" t="e">
        <f>数出表_Excel!R42</f>
        <v>#N/A</v>
      </c>
      <c r="AI42" s="64"/>
      <c r="AJ42" s="16" t="e">
        <f>数出表_Excel!T42</f>
        <v>#N/A</v>
      </c>
      <c r="AK42" s="64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4"/>
      <c r="D44" s="16" t="e">
        <f>数出表_Excel!C44</f>
        <v>#N/A</v>
      </c>
      <c r="E44" s="64"/>
      <c r="F44" s="16" t="e">
        <f>数出表_Excel!D44</f>
        <v>#N/A</v>
      </c>
      <c r="G44" s="64"/>
      <c r="H44" s="16" t="e">
        <f>数出表_Excel!E44</f>
        <v>#N/A</v>
      </c>
      <c r="I44" s="64"/>
      <c r="J44" s="16" t="e">
        <f>数出表_Excel!F44</f>
        <v>#N/A</v>
      </c>
      <c r="K44" s="64"/>
      <c r="L44" s="16" t="e">
        <f>数出表_Excel!G44</f>
        <v>#N/A</v>
      </c>
      <c r="M44" s="64"/>
      <c r="N44" s="16" t="e">
        <f>数出表_Excel!H44</f>
        <v>#N/A</v>
      </c>
      <c r="O44" s="64"/>
      <c r="P44" s="16" t="e">
        <f>数出表_Excel!I44</f>
        <v>#N/A</v>
      </c>
      <c r="Q44" s="64"/>
      <c r="R44" s="16" t="e">
        <f>数出表_Excel!J44</f>
        <v>#N/A</v>
      </c>
      <c r="S44" s="64"/>
      <c r="T44" s="16" t="e">
        <f>数出表_Excel!K44</f>
        <v>#N/A</v>
      </c>
      <c r="U44" s="64"/>
      <c r="V44" s="16" t="e">
        <f>数出表_Excel!L44</f>
        <v>#N/A</v>
      </c>
      <c r="W44" s="64"/>
      <c r="X44" s="16" t="e">
        <f>数出表_Excel!M44</f>
        <v>#N/A</v>
      </c>
      <c r="Y44" s="64"/>
      <c r="Z44" s="16" t="e">
        <f>数出表_Excel!N44</f>
        <v>#N/A</v>
      </c>
      <c r="AA44" s="64"/>
      <c r="AB44" s="16" t="e">
        <f>数出表_Excel!O44</f>
        <v>#N/A</v>
      </c>
      <c r="AC44" s="64"/>
      <c r="AD44" s="16" t="e">
        <f>数出表_Excel!P44</f>
        <v>#N/A</v>
      </c>
      <c r="AE44" s="64"/>
      <c r="AF44" s="16" t="e">
        <f>数出表_Excel!Q44</f>
        <v>#N/A</v>
      </c>
      <c r="AG44" s="64"/>
      <c r="AH44" s="16" t="e">
        <f>数出表_Excel!R44</f>
        <v>#N/A</v>
      </c>
      <c r="AI44" s="64"/>
      <c r="AJ44" s="16" t="e">
        <f>数出表_Excel!T44</f>
        <v>#N/A</v>
      </c>
      <c r="AK44" s="64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4"/>
      <c r="D46" s="16" t="e">
        <f>数出表_Excel!C46</f>
        <v>#N/A</v>
      </c>
      <c r="E46" s="64"/>
      <c r="F46" s="16" t="e">
        <f>数出表_Excel!D46</f>
        <v>#N/A</v>
      </c>
      <c r="G46" s="64"/>
      <c r="H46" s="16" t="e">
        <f>数出表_Excel!E46</f>
        <v>#N/A</v>
      </c>
      <c r="I46" s="64"/>
      <c r="J46" s="16" t="e">
        <f>数出表_Excel!F46</f>
        <v>#N/A</v>
      </c>
      <c r="K46" s="64"/>
      <c r="L46" s="16" t="e">
        <f>数出表_Excel!G46</f>
        <v>#N/A</v>
      </c>
      <c r="M46" s="64"/>
      <c r="N46" s="16" t="e">
        <f>数出表_Excel!H46</f>
        <v>#N/A</v>
      </c>
      <c r="O46" s="64"/>
      <c r="P46" s="16" t="e">
        <f>数出表_Excel!I46</f>
        <v>#N/A</v>
      </c>
      <c r="Q46" s="64"/>
      <c r="R46" s="16" t="e">
        <f>数出表_Excel!J46</f>
        <v>#N/A</v>
      </c>
      <c r="S46" s="64"/>
      <c r="T46" s="16" t="e">
        <f>数出表_Excel!K46</f>
        <v>#N/A</v>
      </c>
      <c r="U46" s="64"/>
      <c r="V46" s="16" t="e">
        <f>数出表_Excel!L46</f>
        <v>#N/A</v>
      </c>
      <c r="W46" s="64"/>
      <c r="X46" s="16" t="e">
        <f>数出表_Excel!M46</f>
        <v>#N/A</v>
      </c>
      <c r="Y46" s="64"/>
      <c r="Z46" s="16" t="e">
        <f>数出表_Excel!N46</f>
        <v>#N/A</v>
      </c>
      <c r="AA46" s="64"/>
      <c r="AB46" s="16" t="e">
        <f>数出表_Excel!O46</f>
        <v>#N/A</v>
      </c>
      <c r="AC46" s="64"/>
      <c r="AD46" s="16" t="e">
        <f>数出表_Excel!P46</f>
        <v>#N/A</v>
      </c>
      <c r="AE46" s="64"/>
      <c r="AF46" s="16" t="e">
        <f>数出表_Excel!Q46</f>
        <v>#N/A</v>
      </c>
      <c r="AG46" s="64"/>
      <c r="AH46" s="16" t="e">
        <f>数出表_Excel!R46</f>
        <v>#N/A</v>
      </c>
      <c r="AI46" s="64"/>
      <c r="AJ46" s="16" t="e">
        <f>数出表_Excel!T46</f>
        <v>#N/A</v>
      </c>
      <c r="AK46" s="64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4"/>
      <c r="D48" s="16" t="e">
        <f>数出表_Excel!C48</f>
        <v>#N/A</v>
      </c>
      <c r="E48" s="64"/>
      <c r="F48" s="16" t="e">
        <f>数出表_Excel!D48</f>
        <v>#N/A</v>
      </c>
      <c r="G48" s="64"/>
      <c r="H48" s="16" t="e">
        <f>数出表_Excel!E48</f>
        <v>#N/A</v>
      </c>
      <c r="I48" s="64"/>
      <c r="J48" s="16" t="e">
        <f>数出表_Excel!F48</f>
        <v>#N/A</v>
      </c>
      <c r="K48" s="64"/>
      <c r="L48" s="16" t="e">
        <f>数出表_Excel!G48</f>
        <v>#N/A</v>
      </c>
      <c r="M48" s="64"/>
      <c r="N48" s="16" t="e">
        <f>数出表_Excel!H48</f>
        <v>#N/A</v>
      </c>
      <c r="O48" s="64"/>
      <c r="P48" s="16" t="e">
        <f>数出表_Excel!I48</f>
        <v>#N/A</v>
      </c>
      <c r="Q48" s="64"/>
      <c r="R48" s="16" t="e">
        <f>数出表_Excel!J48</f>
        <v>#N/A</v>
      </c>
      <c r="S48" s="64"/>
      <c r="T48" s="16" t="e">
        <f>数出表_Excel!K48</f>
        <v>#N/A</v>
      </c>
      <c r="U48" s="64"/>
      <c r="V48" s="16" t="e">
        <f>数出表_Excel!L48</f>
        <v>#N/A</v>
      </c>
      <c r="W48" s="64"/>
      <c r="X48" s="16" t="e">
        <f>数出表_Excel!M48</f>
        <v>#N/A</v>
      </c>
      <c r="Y48" s="64"/>
      <c r="Z48" s="16" t="e">
        <f>数出表_Excel!N48</f>
        <v>#N/A</v>
      </c>
      <c r="AA48" s="64"/>
      <c r="AB48" s="16" t="e">
        <f>数出表_Excel!O48</f>
        <v>#N/A</v>
      </c>
      <c r="AC48" s="64"/>
      <c r="AD48" s="16" t="e">
        <f>数出表_Excel!P48</f>
        <v>#N/A</v>
      </c>
      <c r="AE48" s="64"/>
      <c r="AF48" s="16" t="e">
        <f>数出表_Excel!Q48</f>
        <v>#N/A</v>
      </c>
      <c r="AG48" s="64"/>
      <c r="AH48" s="16" t="e">
        <f>数出表_Excel!R48</f>
        <v>#N/A</v>
      </c>
      <c r="AI48" s="64"/>
      <c r="AJ48" s="16" t="e">
        <f>数出表_Excel!T48</f>
        <v>#N/A</v>
      </c>
      <c r="AK48" s="64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4"/>
      <c r="D50" s="16" t="e">
        <f>数出表_Excel!C50</f>
        <v>#N/A</v>
      </c>
      <c r="E50" s="64"/>
      <c r="F50" s="16" t="e">
        <f>数出表_Excel!D50</f>
        <v>#N/A</v>
      </c>
      <c r="G50" s="64"/>
      <c r="H50" s="16" t="e">
        <f>数出表_Excel!E50</f>
        <v>#N/A</v>
      </c>
      <c r="I50" s="64"/>
      <c r="J50" s="16" t="e">
        <f>数出表_Excel!F50</f>
        <v>#N/A</v>
      </c>
      <c r="K50" s="64"/>
      <c r="L50" s="16" t="e">
        <f>数出表_Excel!G50</f>
        <v>#N/A</v>
      </c>
      <c r="M50" s="64"/>
      <c r="N50" s="16" t="e">
        <f>数出表_Excel!H50</f>
        <v>#N/A</v>
      </c>
      <c r="O50" s="64"/>
      <c r="P50" s="16" t="e">
        <f>数出表_Excel!I50</f>
        <v>#N/A</v>
      </c>
      <c r="Q50" s="64"/>
      <c r="R50" s="16" t="e">
        <f>数出表_Excel!J50</f>
        <v>#N/A</v>
      </c>
      <c r="S50" s="64"/>
      <c r="T50" s="16" t="e">
        <f>数出表_Excel!K50</f>
        <v>#N/A</v>
      </c>
      <c r="U50" s="64"/>
      <c r="V50" s="16" t="e">
        <f>数出表_Excel!L50</f>
        <v>#N/A</v>
      </c>
      <c r="W50" s="64"/>
      <c r="X50" s="16" t="e">
        <f>数出表_Excel!M50</f>
        <v>#N/A</v>
      </c>
      <c r="Y50" s="64"/>
      <c r="Z50" s="16" t="e">
        <f>数出表_Excel!N50</f>
        <v>#N/A</v>
      </c>
      <c r="AA50" s="64"/>
      <c r="AB50" s="16" t="e">
        <f>数出表_Excel!O50</f>
        <v>#N/A</v>
      </c>
      <c r="AC50" s="64"/>
      <c r="AD50" s="16" t="e">
        <f>数出表_Excel!P50</f>
        <v>#N/A</v>
      </c>
      <c r="AE50" s="64"/>
      <c r="AF50" s="16" t="e">
        <f>数出表_Excel!Q50</f>
        <v>#N/A</v>
      </c>
      <c r="AG50" s="64"/>
      <c r="AH50" s="16" t="e">
        <f>数出表_Excel!R50</f>
        <v>#N/A</v>
      </c>
      <c r="AI50" s="64"/>
      <c r="AJ50" s="16" t="e">
        <f>数出表_Excel!T50</f>
        <v>#N/A</v>
      </c>
      <c r="AK50" s="64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4"/>
      <c r="D52" s="16" t="e">
        <f>数出表_Excel!C52</f>
        <v>#N/A</v>
      </c>
      <c r="E52" s="64"/>
      <c r="F52" s="16" t="e">
        <f>数出表_Excel!D52</f>
        <v>#N/A</v>
      </c>
      <c r="G52" s="64"/>
      <c r="H52" s="16" t="e">
        <f>数出表_Excel!E52</f>
        <v>#N/A</v>
      </c>
      <c r="I52" s="64"/>
      <c r="J52" s="16" t="e">
        <f>数出表_Excel!F52</f>
        <v>#N/A</v>
      </c>
      <c r="K52" s="64"/>
      <c r="L52" s="16" t="e">
        <f>数出表_Excel!G52</f>
        <v>#N/A</v>
      </c>
      <c r="M52" s="64"/>
      <c r="N52" s="16" t="e">
        <f>数出表_Excel!H52</f>
        <v>#N/A</v>
      </c>
      <c r="O52" s="64"/>
      <c r="P52" s="16" t="e">
        <f>数出表_Excel!I52</f>
        <v>#N/A</v>
      </c>
      <c r="Q52" s="64"/>
      <c r="R52" s="16" t="e">
        <f>数出表_Excel!J52</f>
        <v>#N/A</v>
      </c>
      <c r="S52" s="64"/>
      <c r="T52" s="16" t="e">
        <f>数出表_Excel!K52</f>
        <v>#N/A</v>
      </c>
      <c r="U52" s="64"/>
      <c r="V52" s="16" t="e">
        <f>数出表_Excel!L52</f>
        <v>#N/A</v>
      </c>
      <c r="W52" s="64"/>
      <c r="X52" s="16" t="e">
        <f>数出表_Excel!M52</f>
        <v>#N/A</v>
      </c>
      <c r="Y52" s="64"/>
      <c r="Z52" s="16" t="e">
        <f>数出表_Excel!N52</f>
        <v>#N/A</v>
      </c>
      <c r="AA52" s="64"/>
      <c r="AB52" s="16" t="e">
        <f>数出表_Excel!O52</f>
        <v>#N/A</v>
      </c>
      <c r="AC52" s="64"/>
      <c r="AD52" s="16" t="e">
        <f>数出表_Excel!P52</f>
        <v>#N/A</v>
      </c>
      <c r="AE52" s="64"/>
      <c r="AF52" s="16" t="e">
        <f>数出表_Excel!Q52</f>
        <v>#N/A</v>
      </c>
      <c r="AG52" s="64"/>
      <c r="AH52" s="16" t="e">
        <f>数出表_Excel!R52</f>
        <v>#N/A</v>
      </c>
      <c r="AI52" s="64"/>
      <c r="AJ52" s="16" t="e">
        <f>数出表_Excel!T52</f>
        <v>#N/A</v>
      </c>
      <c r="AK52" s="64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4"/>
      <c r="D54" s="16" t="e">
        <f>数出表_Excel!C54</f>
        <v>#N/A</v>
      </c>
      <c r="E54" s="64"/>
      <c r="F54" s="16" t="e">
        <f>数出表_Excel!D54</f>
        <v>#N/A</v>
      </c>
      <c r="G54" s="64"/>
      <c r="H54" s="16" t="e">
        <f>数出表_Excel!E54</f>
        <v>#N/A</v>
      </c>
      <c r="I54" s="64"/>
      <c r="J54" s="16" t="e">
        <f>数出表_Excel!F54</f>
        <v>#N/A</v>
      </c>
      <c r="K54" s="64"/>
      <c r="L54" s="16" t="e">
        <f>数出表_Excel!G54</f>
        <v>#N/A</v>
      </c>
      <c r="M54" s="64"/>
      <c r="N54" s="16" t="e">
        <f>数出表_Excel!H54</f>
        <v>#N/A</v>
      </c>
      <c r="O54" s="64"/>
      <c r="P54" s="16" t="e">
        <f>数出表_Excel!I54</f>
        <v>#N/A</v>
      </c>
      <c r="Q54" s="64"/>
      <c r="R54" s="16" t="e">
        <f>数出表_Excel!J54</f>
        <v>#N/A</v>
      </c>
      <c r="S54" s="64"/>
      <c r="T54" s="16" t="e">
        <f>数出表_Excel!K54</f>
        <v>#N/A</v>
      </c>
      <c r="U54" s="64"/>
      <c r="V54" s="16" t="e">
        <f>数出表_Excel!L54</f>
        <v>#N/A</v>
      </c>
      <c r="W54" s="64"/>
      <c r="X54" s="16" t="e">
        <f>数出表_Excel!M54</f>
        <v>#N/A</v>
      </c>
      <c r="Y54" s="64"/>
      <c r="Z54" s="16" t="e">
        <f>数出表_Excel!N54</f>
        <v>#N/A</v>
      </c>
      <c r="AA54" s="64"/>
      <c r="AB54" s="16" t="e">
        <f>数出表_Excel!O54</f>
        <v>#N/A</v>
      </c>
      <c r="AC54" s="64"/>
      <c r="AD54" s="16" t="e">
        <f>数出表_Excel!P54</f>
        <v>#N/A</v>
      </c>
      <c r="AE54" s="64"/>
      <c r="AF54" s="16" t="e">
        <f>数出表_Excel!Q54</f>
        <v>#N/A</v>
      </c>
      <c r="AG54" s="64"/>
      <c r="AH54" s="16" t="e">
        <f>数出表_Excel!R54</f>
        <v>#N/A</v>
      </c>
      <c r="AI54" s="64"/>
      <c r="AJ54" s="16" t="e">
        <f>数出表_Excel!T54</f>
        <v>#N/A</v>
      </c>
      <c r="AK54" s="64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4"/>
      <c r="D56" s="16" t="e">
        <f>数出表_Excel!C56</f>
        <v>#N/A</v>
      </c>
      <c r="E56" s="64"/>
      <c r="F56" s="16" t="e">
        <f>数出表_Excel!D56</f>
        <v>#N/A</v>
      </c>
      <c r="G56" s="64"/>
      <c r="H56" s="16" t="e">
        <f>数出表_Excel!E56</f>
        <v>#N/A</v>
      </c>
      <c r="I56" s="64"/>
      <c r="J56" s="16" t="e">
        <f>数出表_Excel!F56</f>
        <v>#N/A</v>
      </c>
      <c r="K56" s="64"/>
      <c r="L56" s="16" t="e">
        <f>数出表_Excel!G56</f>
        <v>#N/A</v>
      </c>
      <c r="M56" s="64"/>
      <c r="N56" s="16" t="e">
        <f>数出表_Excel!H56</f>
        <v>#N/A</v>
      </c>
      <c r="O56" s="64"/>
      <c r="P56" s="16" t="e">
        <f>数出表_Excel!I56</f>
        <v>#N/A</v>
      </c>
      <c r="Q56" s="64"/>
      <c r="R56" s="16" t="e">
        <f>数出表_Excel!J56</f>
        <v>#N/A</v>
      </c>
      <c r="S56" s="64"/>
      <c r="T56" s="16" t="e">
        <f>数出表_Excel!K56</f>
        <v>#N/A</v>
      </c>
      <c r="U56" s="64"/>
      <c r="V56" s="16" t="e">
        <f>数出表_Excel!L56</f>
        <v>#N/A</v>
      </c>
      <c r="W56" s="64"/>
      <c r="X56" s="16" t="e">
        <f>数出表_Excel!M56</f>
        <v>#N/A</v>
      </c>
      <c r="Y56" s="64"/>
      <c r="Z56" s="16" t="e">
        <f>数出表_Excel!N56</f>
        <v>#N/A</v>
      </c>
      <c r="AA56" s="64"/>
      <c r="AB56" s="16" t="e">
        <f>数出表_Excel!O56</f>
        <v>#N/A</v>
      </c>
      <c r="AC56" s="64"/>
      <c r="AD56" s="16" t="e">
        <f>数出表_Excel!P56</f>
        <v>#N/A</v>
      </c>
      <c r="AE56" s="64"/>
      <c r="AF56" s="16" t="e">
        <f>数出表_Excel!Q56</f>
        <v>#N/A</v>
      </c>
      <c r="AG56" s="64"/>
      <c r="AH56" s="16" t="e">
        <f>数出表_Excel!R56</f>
        <v>#N/A</v>
      </c>
      <c r="AI56" s="64"/>
      <c r="AJ56" s="16" t="e">
        <f>数出表_Excel!T56</f>
        <v>#N/A</v>
      </c>
      <c r="AK56" s="64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4"/>
      <c r="D58" s="16" t="e">
        <f>数出表_Excel!C58</f>
        <v>#N/A</v>
      </c>
      <c r="E58" s="64"/>
      <c r="F58" s="16" t="e">
        <f>数出表_Excel!D58</f>
        <v>#N/A</v>
      </c>
      <c r="G58" s="64"/>
      <c r="H58" s="16" t="e">
        <f>数出表_Excel!E58</f>
        <v>#N/A</v>
      </c>
      <c r="I58" s="64"/>
      <c r="J58" s="16" t="e">
        <f>数出表_Excel!F58</f>
        <v>#N/A</v>
      </c>
      <c r="K58" s="64"/>
      <c r="L58" s="16" t="e">
        <f>数出表_Excel!G58</f>
        <v>#N/A</v>
      </c>
      <c r="M58" s="64"/>
      <c r="N58" s="16" t="e">
        <f>数出表_Excel!H58</f>
        <v>#N/A</v>
      </c>
      <c r="O58" s="64"/>
      <c r="P58" s="16" t="e">
        <f>数出表_Excel!I58</f>
        <v>#N/A</v>
      </c>
      <c r="Q58" s="64"/>
      <c r="R58" s="16" t="e">
        <f>数出表_Excel!J58</f>
        <v>#N/A</v>
      </c>
      <c r="S58" s="64"/>
      <c r="T58" s="16" t="e">
        <f>数出表_Excel!K58</f>
        <v>#N/A</v>
      </c>
      <c r="U58" s="64"/>
      <c r="V58" s="16" t="e">
        <f>数出表_Excel!L58</f>
        <v>#N/A</v>
      </c>
      <c r="W58" s="64"/>
      <c r="X58" s="16" t="e">
        <f>数出表_Excel!M58</f>
        <v>#N/A</v>
      </c>
      <c r="Y58" s="64"/>
      <c r="Z58" s="16" t="e">
        <f>数出表_Excel!N58</f>
        <v>#N/A</v>
      </c>
      <c r="AA58" s="64"/>
      <c r="AB58" s="16" t="e">
        <f>数出表_Excel!O58</f>
        <v>#N/A</v>
      </c>
      <c r="AC58" s="64"/>
      <c r="AD58" s="16" t="e">
        <f>数出表_Excel!P58</f>
        <v>#N/A</v>
      </c>
      <c r="AE58" s="64"/>
      <c r="AF58" s="16" t="e">
        <f>数出表_Excel!Q58</f>
        <v>#N/A</v>
      </c>
      <c r="AG58" s="64"/>
      <c r="AH58" s="16" t="e">
        <f>数出表_Excel!R58</f>
        <v>#N/A</v>
      </c>
      <c r="AI58" s="64"/>
      <c r="AJ58" s="16" t="e">
        <f>数出表_Excel!T58</f>
        <v>#N/A</v>
      </c>
      <c r="AK58" s="64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4"/>
      <c r="D60" s="16" t="e">
        <f>数出表_Excel!C60</f>
        <v>#N/A</v>
      </c>
      <c r="E60" s="64"/>
      <c r="F60" s="16" t="e">
        <f>数出表_Excel!D60</f>
        <v>#N/A</v>
      </c>
      <c r="G60" s="64"/>
      <c r="H60" s="16" t="e">
        <f>数出表_Excel!E60</f>
        <v>#N/A</v>
      </c>
      <c r="I60" s="64"/>
      <c r="J60" s="16" t="e">
        <f>数出表_Excel!F60</f>
        <v>#N/A</v>
      </c>
      <c r="K60" s="64"/>
      <c r="L60" s="16" t="e">
        <f>数出表_Excel!G60</f>
        <v>#N/A</v>
      </c>
      <c r="M60" s="64"/>
      <c r="N60" s="16" t="e">
        <f>数出表_Excel!H60</f>
        <v>#N/A</v>
      </c>
      <c r="O60" s="64"/>
      <c r="P60" s="16" t="e">
        <f>数出表_Excel!I60</f>
        <v>#N/A</v>
      </c>
      <c r="Q60" s="64"/>
      <c r="R60" s="16" t="e">
        <f>数出表_Excel!J60</f>
        <v>#N/A</v>
      </c>
      <c r="S60" s="64"/>
      <c r="T60" s="16" t="e">
        <f>数出表_Excel!K60</f>
        <v>#N/A</v>
      </c>
      <c r="U60" s="64"/>
      <c r="V60" s="16" t="e">
        <f>数出表_Excel!L60</f>
        <v>#N/A</v>
      </c>
      <c r="W60" s="64"/>
      <c r="X60" s="16" t="e">
        <f>数出表_Excel!M60</f>
        <v>#N/A</v>
      </c>
      <c r="Y60" s="64"/>
      <c r="Z60" s="16" t="e">
        <f>数出表_Excel!N60</f>
        <v>#N/A</v>
      </c>
      <c r="AA60" s="64"/>
      <c r="AB60" s="16" t="e">
        <f>数出表_Excel!O60</f>
        <v>#N/A</v>
      </c>
      <c r="AC60" s="64"/>
      <c r="AD60" s="16" t="e">
        <f>数出表_Excel!P60</f>
        <v>#N/A</v>
      </c>
      <c r="AE60" s="64"/>
      <c r="AF60" s="16" t="e">
        <f>数出表_Excel!Q60</f>
        <v>#N/A</v>
      </c>
      <c r="AG60" s="64"/>
      <c r="AH60" s="16" t="e">
        <f>数出表_Excel!R60</f>
        <v>#N/A</v>
      </c>
      <c r="AI60" s="64"/>
      <c r="AJ60" s="16" t="e">
        <f>数出表_Excel!T60</f>
        <v>#N/A</v>
      </c>
      <c r="AK60" s="64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4"/>
      <c r="D62" s="16" t="e">
        <f>数出表_Excel!C62</f>
        <v>#N/A</v>
      </c>
      <c r="E62" s="64"/>
      <c r="F62" s="16" t="e">
        <f>数出表_Excel!D62</f>
        <v>#N/A</v>
      </c>
      <c r="G62" s="64"/>
      <c r="H62" s="16" t="e">
        <f>数出表_Excel!E62</f>
        <v>#N/A</v>
      </c>
      <c r="I62" s="64"/>
      <c r="J62" s="16" t="e">
        <f>数出表_Excel!F62</f>
        <v>#N/A</v>
      </c>
      <c r="K62" s="64"/>
      <c r="L62" s="16" t="e">
        <f>数出表_Excel!G62</f>
        <v>#N/A</v>
      </c>
      <c r="M62" s="64"/>
      <c r="N62" s="16" t="e">
        <f>数出表_Excel!H62</f>
        <v>#N/A</v>
      </c>
      <c r="O62" s="64"/>
      <c r="P62" s="16" t="e">
        <f>数出表_Excel!I62</f>
        <v>#N/A</v>
      </c>
      <c r="Q62" s="64"/>
      <c r="R62" s="16" t="e">
        <f>数出表_Excel!J62</f>
        <v>#N/A</v>
      </c>
      <c r="S62" s="64"/>
      <c r="T62" s="16" t="e">
        <f>数出表_Excel!K62</f>
        <v>#N/A</v>
      </c>
      <c r="U62" s="64"/>
      <c r="V62" s="16" t="e">
        <f>数出表_Excel!L62</f>
        <v>#N/A</v>
      </c>
      <c r="W62" s="64"/>
      <c r="X62" s="16" t="e">
        <f>数出表_Excel!M62</f>
        <v>#N/A</v>
      </c>
      <c r="Y62" s="64"/>
      <c r="Z62" s="16" t="e">
        <f>数出表_Excel!N62</f>
        <v>#N/A</v>
      </c>
      <c r="AA62" s="64"/>
      <c r="AB62" s="16" t="e">
        <f>数出表_Excel!O62</f>
        <v>#N/A</v>
      </c>
      <c r="AC62" s="64"/>
      <c r="AD62" s="16" t="e">
        <f>数出表_Excel!P62</f>
        <v>#N/A</v>
      </c>
      <c r="AE62" s="64"/>
      <c r="AF62" s="16" t="e">
        <f>数出表_Excel!Q62</f>
        <v>#N/A</v>
      </c>
      <c r="AG62" s="64"/>
      <c r="AH62" s="16" t="e">
        <f>数出表_Excel!R62</f>
        <v>#N/A</v>
      </c>
      <c r="AI62" s="64"/>
      <c r="AJ62" s="16" t="e">
        <f>数出表_Excel!T62</f>
        <v>#N/A</v>
      </c>
      <c r="AK62" s="64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4"/>
      <c r="D64" s="16" t="e">
        <f>数出表_Excel!C64</f>
        <v>#N/A</v>
      </c>
      <c r="E64" s="64"/>
      <c r="F64" s="16" t="e">
        <f>数出表_Excel!D64</f>
        <v>#N/A</v>
      </c>
      <c r="G64" s="64"/>
      <c r="H64" s="16" t="e">
        <f>数出表_Excel!E64</f>
        <v>#N/A</v>
      </c>
      <c r="I64" s="64"/>
      <c r="J64" s="16" t="e">
        <f>数出表_Excel!F64</f>
        <v>#N/A</v>
      </c>
      <c r="K64" s="64"/>
      <c r="L64" s="16" t="e">
        <f>数出表_Excel!G64</f>
        <v>#N/A</v>
      </c>
      <c r="M64" s="64"/>
      <c r="N64" s="16" t="e">
        <f>数出表_Excel!H64</f>
        <v>#N/A</v>
      </c>
      <c r="O64" s="64"/>
      <c r="P64" s="16" t="e">
        <f>数出表_Excel!I64</f>
        <v>#N/A</v>
      </c>
      <c r="Q64" s="64"/>
      <c r="R64" s="16" t="e">
        <f>数出表_Excel!J64</f>
        <v>#N/A</v>
      </c>
      <c r="S64" s="64"/>
      <c r="T64" s="16" t="e">
        <f>数出表_Excel!K64</f>
        <v>#N/A</v>
      </c>
      <c r="U64" s="64"/>
      <c r="V64" s="16" t="e">
        <f>数出表_Excel!L64</f>
        <v>#N/A</v>
      </c>
      <c r="W64" s="64"/>
      <c r="X64" s="16" t="e">
        <f>数出表_Excel!M64</f>
        <v>#N/A</v>
      </c>
      <c r="Y64" s="64"/>
      <c r="Z64" s="16" t="e">
        <f>数出表_Excel!N64</f>
        <v>#N/A</v>
      </c>
      <c r="AA64" s="64"/>
      <c r="AB64" s="16" t="e">
        <f>数出表_Excel!O64</f>
        <v>#N/A</v>
      </c>
      <c r="AC64" s="64"/>
      <c r="AD64" s="16" t="e">
        <f>数出表_Excel!P64</f>
        <v>#N/A</v>
      </c>
      <c r="AE64" s="64"/>
      <c r="AF64" s="16" t="e">
        <f>数出表_Excel!Q64</f>
        <v>#N/A</v>
      </c>
      <c r="AG64" s="64"/>
      <c r="AH64" s="16" t="e">
        <f>数出表_Excel!R64</f>
        <v>#N/A</v>
      </c>
      <c r="AI64" s="64"/>
      <c r="AJ64" s="16" t="e">
        <f>数出表_Excel!T64</f>
        <v>#N/A</v>
      </c>
      <c r="AK64" s="64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4"/>
      <c r="D66" s="16" t="e">
        <f>数出表_Excel!C66</f>
        <v>#N/A</v>
      </c>
      <c r="E66" s="64"/>
      <c r="F66" s="16" t="e">
        <f>数出表_Excel!D66</f>
        <v>#N/A</v>
      </c>
      <c r="G66" s="64"/>
      <c r="H66" s="16" t="e">
        <f>数出表_Excel!E66</f>
        <v>#N/A</v>
      </c>
      <c r="I66" s="64"/>
      <c r="J66" s="16" t="e">
        <f>数出表_Excel!F66</f>
        <v>#N/A</v>
      </c>
      <c r="K66" s="64"/>
      <c r="L66" s="16" t="e">
        <f>数出表_Excel!G66</f>
        <v>#N/A</v>
      </c>
      <c r="M66" s="64"/>
      <c r="N66" s="16" t="e">
        <f>数出表_Excel!H66</f>
        <v>#N/A</v>
      </c>
      <c r="O66" s="64"/>
      <c r="P66" s="16" t="e">
        <f>数出表_Excel!I66</f>
        <v>#N/A</v>
      </c>
      <c r="Q66" s="64"/>
      <c r="R66" s="16" t="e">
        <f>数出表_Excel!J66</f>
        <v>#N/A</v>
      </c>
      <c r="S66" s="64"/>
      <c r="T66" s="16" t="e">
        <f>数出表_Excel!K66</f>
        <v>#N/A</v>
      </c>
      <c r="U66" s="64"/>
      <c r="V66" s="16" t="e">
        <f>数出表_Excel!L66</f>
        <v>#N/A</v>
      </c>
      <c r="W66" s="64"/>
      <c r="X66" s="16" t="e">
        <f>数出表_Excel!M66</f>
        <v>#N/A</v>
      </c>
      <c r="Y66" s="64"/>
      <c r="Z66" s="16" t="e">
        <f>数出表_Excel!N66</f>
        <v>#N/A</v>
      </c>
      <c r="AA66" s="64"/>
      <c r="AB66" s="16" t="e">
        <f>数出表_Excel!O66</f>
        <v>#N/A</v>
      </c>
      <c r="AC66" s="64"/>
      <c r="AD66" s="16" t="e">
        <f>数出表_Excel!P66</f>
        <v>#N/A</v>
      </c>
      <c r="AE66" s="64"/>
      <c r="AF66" s="16" t="e">
        <f>数出表_Excel!Q66</f>
        <v>#N/A</v>
      </c>
      <c r="AG66" s="64"/>
      <c r="AH66" s="16" t="e">
        <f>数出表_Excel!R66</f>
        <v>#N/A</v>
      </c>
      <c r="AI66" s="64"/>
      <c r="AJ66" s="16" t="e">
        <f>数出表_Excel!T66</f>
        <v>#N/A</v>
      </c>
      <c r="AK66" s="64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4"/>
      <c r="D68" s="16" t="e">
        <f>数出表_Excel!C68</f>
        <v>#N/A</v>
      </c>
      <c r="E68" s="64"/>
      <c r="F68" s="16" t="e">
        <f>数出表_Excel!D68</f>
        <v>#N/A</v>
      </c>
      <c r="G68" s="64"/>
      <c r="H68" s="16" t="e">
        <f>数出表_Excel!E68</f>
        <v>#N/A</v>
      </c>
      <c r="I68" s="64"/>
      <c r="J68" s="16" t="e">
        <f>数出表_Excel!F68</f>
        <v>#N/A</v>
      </c>
      <c r="K68" s="64"/>
      <c r="L68" s="16" t="e">
        <f>数出表_Excel!G68</f>
        <v>#N/A</v>
      </c>
      <c r="M68" s="64"/>
      <c r="N68" s="16" t="e">
        <f>数出表_Excel!H68</f>
        <v>#N/A</v>
      </c>
      <c r="O68" s="64"/>
      <c r="P68" s="16" t="e">
        <f>数出表_Excel!I68</f>
        <v>#N/A</v>
      </c>
      <c r="Q68" s="64"/>
      <c r="R68" s="16" t="e">
        <f>数出表_Excel!J68</f>
        <v>#N/A</v>
      </c>
      <c r="S68" s="64"/>
      <c r="T68" s="16" t="e">
        <f>数出表_Excel!K68</f>
        <v>#N/A</v>
      </c>
      <c r="U68" s="64"/>
      <c r="V68" s="16" t="e">
        <f>数出表_Excel!L68</f>
        <v>#N/A</v>
      </c>
      <c r="W68" s="64"/>
      <c r="X68" s="16" t="e">
        <f>数出表_Excel!M68</f>
        <v>#N/A</v>
      </c>
      <c r="Y68" s="64"/>
      <c r="Z68" s="16" t="e">
        <f>数出表_Excel!N68</f>
        <v>#N/A</v>
      </c>
      <c r="AA68" s="64"/>
      <c r="AB68" s="16" t="e">
        <f>数出表_Excel!O68</f>
        <v>#N/A</v>
      </c>
      <c r="AC68" s="64"/>
      <c r="AD68" s="16" t="e">
        <f>数出表_Excel!P68</f>
        <v>#N/A</v>
      </c>
      <c r="AE68" s="64"/>
      <c r="AF68" s="16" t="e">
        <f>数出表_Excel!Q68</f>
        <v>#N/A</v>
      </c>
      <c r="AG68" s="64"/>
      <c r="AH68" s="16" t="e">
        <f>数出表_Excel!R68</f>
        <v>#N/A</v>
      </c>
      <c r="AI68" s="64"/>
      <c r="AJ68" s="16" t="e">
        <f>数出表_Excel!T68</f>
        <v>#N/A</v>
      </c>
      <c r="AK68" s="64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4"/>
      <c r="D70" s="16" t="e">
        <f>数出表_Excel!C70</f>
        <v>#N/A</v>
      </c>
      <c r="E70" s="64"/>
      <c r="F70" s="16" t="e">
        <f>数出表_Excel!D70</f>
        <v>#N/A</v>
      </c>
      <c r="G70" s="64"/>
      <c r="H70" s="16" t="e">
        <f>数出表_Excel!E70</f>
        <v>#N/A</v>
      </c>
      <c r="I70" s="64"/>
      <c r="J70" s="16" t="e">
        <f>数出表_Excel!F70</f>
        <v>#N/A</v>
      </c>
      <c r="K70" s="64"/>
      <c r="L70" s="16" t="e">
        <f>数出表_Excel!G70</f>
        <v>#N/A</v>
      </c>
      <c r="M70" s="64"/>
      <c r="N70" s="16" t="e">
        <f>数出表_Excel!H70</f>
        <v>#N/A</v>
      </c>
      <c r="O70" s="64"/>
      <c r="P70" s="16" t="e">
        <f>数出表_Excel!I70</f>
        <v>#N/A</v>
      </c>
      <c r="Q70" s="64"/>
      <c r="R70" s="16" t="e">
        <f>数出表_Excel!J70</f>
        <v>#N/A</v>
      </c>
      <c r="S70" s="64"/>
      <c r="T70" s="16" t="e">
        <f>数出表_Excel!K70</f>
        <v>#N/A</v>
      </c>
      <c r="U70" s="64"/>
      <c r="V70" s="16" t="e">
        <f>数出表_Excel!L70</f>
        <v>#N/A</v>
      </c>
      <c r="W70" s="64"/>
      <c r="X70" s="16" t="e">
        <f>数出表_Excel!M70</f>
        <v>#N/A</v>
      </c>
      <c r="Y70" s="64"/>
      <c r="Z70" s="16" t="e">
        <f>数出表_Excel!N70</f>
        <v>#N/A</v>
      </c>
      <c r="AA70" s="64"/>
      <c r="AB70" s="16" t="e">
        <f>数出表_Excel!O70</f>
        <v>#N/A</v>
      </c>
      <c r="AC70" s="64"/>
      <c r="AD70" s="16" t="e">
        <f>数出表_Excel!P70</f>
        <v>#N/A</v>
      </c>
      <c r="AE70" s="64"/>
      <c r="AF70" s="16" t="e">
        <f>数出表_Excel!Q70</f>
        <v>#N/A</v>
      </c>
      <c r="AG70" s="64"/>
      <c r="AH70" s="16" t="e">
        <f>数出表_Excel!R70</f>
        <v>#N/A</v>
      </c>
      <c r="AI70" s="64"/>
      <c r="AJ70" s="16" t="e">
        <f>数出表_Excel!T70</f>
        <v>#N/A</v>
      </c>
      <c r="AK70" s="64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4"/>
      <c r="D72" s="16" t="e">
        <f>数出表_Excel!C72</f>
        <v>#N/A</v>
      </c>
      <c r="E72" s="64"/>
      <c r="F72" s="16" t="e">
        <f>数出表_Excel!D72</f>
        <v>#N/A</v>
      </c>
      <c r="G72" s="64"/>
      <c r="H72" s="16" t="e">
        <f>数出表_Excel!E72</f>
        <v>#N/A</v>
      </c>
      <c r="I72" s="64"/>
      <c r="J72" s="16" t="e">
        <f>数出表_Excel!F72</f>
        <v>#N/A</v>
      </c>
      <c r="K72" s="64"/>
      <c r="L72" s="16" t="e">
        <f>数出表_Excel!G72</f>
        <v>#N/A</v>
      </c>
      <c r="M72" s="64"/>
      <c r="N72" s="16" t="e">
        <f>数出表_Excel!H72</f>
        <v>#N/A</v>
      </c>
      <c r="O72" s="64"/>
      <c r="P72" s="16" t="e">
        <f>数出表_Excel!I72</f>
        <v>#N/A</v>
      </c>
      <c r="Q72" s="64"/>
      <c r="R72" s="16" t="e">
        <f>数出表_Excel!J72</f>
        <v>#N/A</v>
      </c>
      <c r="S72" s="64"/>
      <c r="T72" s="16" t="e">
        <f>数出表_Excel!K72</f>
        <v>#N/A</v>
      </c>
      <c r="U72" s="64"/>
      <c r="V72" s="16" t="e">
        <f>数出表_Excel!L72</f>
        <v>#N/A</v>
      </c>
      <c r="W72" s="64"/>
      <c r="X72" s="16" t="e">
        <f>数出表_Excel!M72</f>
        <v>#N/A</v>
      </c>
      <c r="Y72" s="64"/>
      <c r="Z72" s="16" t="e">
        <f>数出表_Excel!N72</f>
        <v>#N/A</v>
      </c>
      <c r="AA72" s="64"/>
      <c r="AB72" s="16" t="e">
        <f>数出表_Excel!O72</f>
        <v>#N/A</v>
      </c>
      <c r="AC72" s="64"/>
      <c r="AD72" s="16" t="e">
        <f>数出表_Excel!P72</f>
        <v>#N/A</v>
      </c>
      <c r="AE72" s="64"/>
      <c r="AF72" s="16" t="e">
        <f>数出表_Excel!Q72</f>
        <v>#N/A</v>
      </c>
      <c r="AG72" s="64"/>
      <c r="AH72" s="16" t="e">
        <f>数出表_Excel!R72</f>
        <v>#N/A</v>
      </c>
      <c r="AI72" s="64"/>
      <c r="AJ72" s="16" t="e">
        <f>数出表_Excel!T72</f>
        <v>#N/A</v>
      </c>
      <c r="AK72" s="64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4"/>
      <c r="D74" s="16" t="e">
        <f>数出表_Excel!C74</f>
        <v>#N/A</v>
      </c>
      <c r="E74" s="64"/>
      <c r="F74" s="16" t="e">
        <f>数出表_Excel!D74</f>
        <v>#N/A</v>
      </c>
      <c r="G74" s="64"/>
      <c r="H74" s="16" t="e">
        <f>数出表_Excel!E74</f>
        <v>#N/A</v>
      </c>
      <c r="I74" s="64"/>
      <c r="J74" s="16" t="e">
        <f>数出表_Excel!F74</f>
        <v>#N/A</v>
      </c>
      <c r="K74" s="64"/>
      <c r="L74" s="16" t="e">
        <f>数出表_Excel!G74</f>
        <v>#N/A</v>
      </c>
      <c r="M74" s="64"/>
      <c r="N74" s="16" t="e">
        <f>数出表_Excel!H74</f>
        <v>#N/A</v>
      </c>
      <c r="O74" s="64"/>
      <c r="P74" s="16" t="e">
        <f>数出表_Excel!I74</f>
        <v>#N/A</v>
      </c>
      <c r="Q74" s="64"/>
      <c r="R74" s="16" t="e">
        <f>数出表_Excel!J74</f>
        <v>#N/A</v>
      </c>
      <c r="S74" s="64"/>
      <c r="T74" s="16" t="e">
        <f>数出表_Excel!K74</f>
        <v>#N/A</v>
      </c>
      <c r="U74" s="64"/>
      <c r="V74" s="16" t="e">
        <f>数出表_Excel!L74</f>
        <v>#N/A</v>
      </c>
      <c r="W74" s="64"/>
      <c r="X74" s="16" t="e">
        <f>数出表_Excel!M74</f>
        <v>#N/A</v>
      </c>
      <c r="Y74" s="64"/>
      <c r="Z74" s="16" t="e">
        <f>数出表_Excel!N74</f>
        <v>#N/A</v>
      </c>
      <c r="AA74" s="64"/>
      <c r="AB74" s="16" t="e">
        <f>数出表_Excel!O74</f>
        <v>#N/A</v>
      </c>
      <c r="AC74" s="64"/>
      <c r="AD74" s="16" t="e">
        <f>数出表_Excel!P74</f>
        <v>#N/A</v>
      </c>
      <c r="AE74" s="64"/>
      <c r="AF74" s="16" t="e">
        <f>数出表_Excel!Q74</f>
        <v>#N/A</v>
      </c>
      <c r="AG74" s="64"/>
      <c r="AH74" s="16" t="e">
        <f>数出表_Excel!R74</f>
        <v>#N/A</v>
      </c>
      <c r="AI74" s="64"/>
      <c r="AJ74" s="16" t="e">
        <f>数出表_Excel!T74</f>
        <v>#N/A</v>
      </c>
      <c r="AK74" s="64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4"/>
      <c r="D76" s="16" t="e">
        <f>数出表_Excel!C76</f>
        <v>#N/A</v>
      </c>
      <c r="E76" s="64"/>
      <c r="F76" s="16" t="e">
        <f>数出表_Excel!D76</f>
        <v>#N/A</v>
      </c>
      <c r="G76" s="64"/>
      <c r="H76" s="16" t="e">
        <f>数出表_Excel!E76</f>
        <v>#N/A</v>
      </c>
      <c r="I76" s="64"/>
      <c r="J76" s="16" t="e">
        <f>数出表_Excel!F76</f>
        <v>#N/A</v>
      </c>
      <c r="K76" s="64"/>
      <c r="L76" s="16" t="e">
        <f>数出表_Excel!G76</f>
        <v>#N/A</v>
      </c>
      <c r="M76" s="64"/>
      <c r="N76" s="16" t="e">
        <f>数出表_Excel!H76</f>
        <v>#N/A</v>
      </c>
      <c r="O76" s="64"/>
      <c r="P76" s="16" t="e">
        <f>数出表_Excel!I76</f>
        <v>#N/A</v>
      </c>
      <c r="Q76" s="64"/>
      <c r="R76" s="16" t="e">
        <f>数出表_Excel!J76</f>
        <v>#N/A</v>
      </c>
      <c r="S76" s="64"/>
      <c r="T76" s="16" t="e">
        <f>数出表_Excel!K76</f>
        <v>#N/A</v>
      </c>
      <c r="U76" s="64"/>
      <c r="V76" s="16" t="e">
        <f>数出表_Excel!L76</f>
        <v>#N/A</v>
      </c>
      <c r="W76" s="64"/>
      <c r="X76" s="16" t="e">
        <f>数出表_Excel!M76</f>
        <v>#N/A</v>
      </c>
      <c r="Y76" s="64"/>
      <c r="Z76" s="16" t="e">
        <f>数出表_Excel!N76</f>
        <v>#N/A</v>
      </c>
      <c r="AA76" s="64"/>
      <c r="AB76" s="16" t="e">
        <f>数出表_Excel!O76</f>
        <v>#N/A</v>
      </c>
      <c r="AC76" s="64"/>
      <c r="AD76" s="16" t="e">
        <f>数出表_Excel!P76</f>
        <v>#N/A</v>
      </c>
      <c r="AE76" s="64"/>
      <c r="AF76" s="16" t="e">
        <f>数出表_Excel!Q76</f>
        <v>#N/A</v>
      </c>
      <c r="AG76" s="64"/>
      <c r="AH76" s="16" t="e">
        <f>数出表_Excel!R76</f>
        <v>#N/A</v>
      </c>
      <c r="AI76" s="64"/>
      <c r="AJ76" s="16" t="e">
        <f>数出表_Excel!T76</f>
        <v>#N/A</v>
      </c>
      <c r="AK76" s="64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4"/>
      <c r="D78" s="16" t="e">
        <f>数出表_Excel!C78</f>
        <v>#N/A</v>
      </c>
      <c r="E78" s="64"/>
      <c r="F78" s="16" t="e">
        <f>数出表_Excel!D78</f>
        <v>#N/A</v>
      </c>
      <c r="G78" s="64"/>
      <c r="H78" s="16" t="e">
        <f>数出表_Excel!E78</f>
        <v>#N/A</v>
      </c>
      <c r="I78" s="64"/>
      <c r="J78" s="16" t="e">
        <f>数出表_Excel!F78</f>
        <v>#N/A</v>
      </c>
      <c r="K78" s="64"/>
      <c r="L78" s="16" t="e">
        <f>数出表_Excel!G78</f>
        <v>#N/A</v>
      </c>
      <c r="M78" s="64"/>
      <c r="N78" s="16" t="e">
        <f>数出表_Excel!H78</f>
        <v>#N/A</v>
      </c>
      <c r="O78" s="64"/>
      <c r="P78" s="16" t="e">
        <f>数出表_Excel!I78</f>
        <v>#N/A</v>
      </c>
      <c r="Q78" s="64"/>
      <c r="R78" s="16" t="e">
        <f>数出表_Excel!J78</f>
        <v>#N/A</v>
      </c>
      <c r="S78" s="64"/>
      <c r="T78" s="16" t="e">
        <f>数出表_Excel!K78</f>
        <v>#N/A</v>
      </c>
      <c r="U78" s="64"/>
      <c r="V78" s="16" t="e">
        <f>数出表_Excel!L78</f>
        <v>#N/A</v>
      </c>
      <c r="W78" s="64"/>
      <c r="X78" s="16" t="e">
        <f>数出表_Excel!M78</f>
        <v>#N/A</v>
      </c>
      <c r="Y78" s="64"/>
      <c r="Z78" s="16" t="e">
        <f>数出表_Excel!N78</f>
        <v>#N/A</v>
      </c>
      <c r="AA78" s="64"/>
      <c r="AB78" s="16" t="e">
        <f>数出表_Excel!O78</f>
        <v>#N/A</v>
      </c>
      <c r="AC78" s="64"/>
      <c r="AD78" s="16" t="e">
        <f>数出表_Excel!P78</f>
        <v>#N/A</v>
      </c>
      <c r="AE78" s="64"/>
      <c r="AF78" s="16" t="e">
        <f>数出表_Excel!Q78</f>
        <v>#N/A</v>
      </c>
      <c r="AG78" s="64"/>
      <c r="AH78" s="16" t="e">
        <f>数出表_Excel!R78</f>
        <v>#N/A</v>
      </c>
      <c r="AI78" s="64"/>
      <c r="AJ78" s="16" t="e">
        <f>数出表_Excel!T78</f>
        <v>#N/A</v>
      </c>
      <c r="AK78" s="64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4"/>
      <c r="D80" s="16" t="e">
        <f>数出表_Excel!C80</f>
        <v>#N/A</v>
      </c>
      <c r="E80" s="64"/>
      <c r="F80" s="16" t="e">
        <f>数出表_Excel!D80</f>
        <v>#N/A</v>
      </c>
      <c r="G80" s="64"/>
      <c r="H80" s="16" t="e">
        <f>数出表_Excel!E80</f>
        <v>#N/A</v>
      </c>
      <c r="I80" s="64"/>
      <c r="J80" s="16" t="e">
        <f>数出表_Excel!F80</f>
        <v>#N/A</v>
      </c>
      <c r="K80" s="64"/>
      <c r="L80" s="16" t="e">
        <f>数出表_Excel!G80</f>
        <v>#N/A</v>
      </c>
      <c r="M80" s="64"/>
      <c r="N80" s="16" t="e">
        <f>数出表_Excel!H80</f>
        <v>#N/A</v>
      </c>
      <c r="O80" s="64"/>
      <c r="P80" s="16" t="e">
        <f>数出表_Excel!I80</f>
        <v>#N/A</v>
      </c>
      <c r="Q80" s="64"/>
      <c r="R80" s="16" t="e">
        <f>数出表_Excel!J80</f>
        <v>#N/A</v>
      </c>
      <c r="S80" s="64"/>
      <c r="T80" s="16" t="e">
        <f>数出表_Excel!K80</f>
        <v>#N/A</v>
      </c>
      <c r="U80" s="64"/>
      <c r="V80" s="16" t="e">
        <f>数出表_Excel!L80</f>
        <v>#N/A</v>
      </c>
      <c r="W80" s="64"/>
      <c r="X80" s="16" t="e">
        <f>数出表_Excel!M80</f>
        <v>#N/A</v>
      </c>
      <c r="Y80" s="64"/>
      <c r="Z80" s="16" t="e">
        <f>数出表_Excel!N80</f>
        <v>#N/A</v>
      </c>
      <c r="AA80" s="64"/>
      <c r="AB80" s="16" t="e">
        <f>数出表_Excel!O80</f>
        <v>#N/A</v>
      </c>
      <c r="AC80" s="64"/>
      <c r="AD80" s="16" t="e">
        <f>数出表_Excel!P80</f>
        <v>#N/A</v>
      </c>
      <c r="AE80" s="64"/>
      <c r="AF80" s="16" t="e">
        <f>数出表_Excel!Q80</f>
        <v>#N/A</v>
      </c>
      <c r="AG80" s="64"/>
      <c r="AH80" s="16" t="e">
        <f>数出表_Excel!R80</f>
        <v>#N/A</v>
      </c>
      <c r="AI80" s="64"/>
      <c r="AJ80" s="16" t="e">
        <f>数出表_Excel!T80</f>
        <v>#N/A</v>
      </c>
      <c r="AK80" s="64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4"/>
      <c r="D82" s="16" t="e">
        <f>数出表_Excel!C82</f>
        <v>#N/A</v>
      </c>
      <c r="E82" s="64"/>
      <c r="F82" s="16" t="e">
        <f>数出表_Excel!D82</f>
        <v>#N/A</v>
      </c>
      <c r="G82" s="64"/>
      <c r="H82" s="16" t="e">
        <f>数出表_Excel!E82</f>
        <v>#N/A</v>
      </c>
      <c r="I82" s="64"/>
      <c r="J82" s="16" t="e">
        <f>数出表_Excel!F82</f>
        <v>#N/A</v>
      </c>
      <c r="K82" s="64"/>
      <c r="L82" s="16" t="e">
        <f>数出表_Excel!G82</f>
        <v>#N/A</v>
      </c>
      <c r="M82" s="64"/>
      <c r="N82" s="16" t="e">
        <f>数出表_Excel!H82</f>
        <v>#N/A</v>
      </c>
      <c r="O82" s="64"/>
      <c r="P82" s="16" t="e">
        <f>数出表_Excel!I82</f>
        <v>#N/A</v>
      </c>
      <c r="Q82" s="64"/>
      <c r="R82" s="16" t="e">
        <f>数出表_Excel!J82</f>
        <v>#N/A</v>
      </c>
      <c r="S82" s="64"/>
      <c r="T82" s="16" t="e">
        <f>数出表_Excel!K82</f>
        <v>#N/A</v>
      </c>
      <c r="U82" s="64"/>
      <c r="V82" s="16" t="e">
        <f>数出表_Excel!L82</f>
        <v>#N/A</v>
      </c>
      <c r="W82" s="64"/>
      <c r="X82" s="16" t="e">
        <f>数出表_Excel!M82</f>
        <v>#N/A</v>
      </c>
      <c r="Y82" s="64"/>
      <c r="Z82" s="16" t="e">
        <f>数出表_Excel!N82</f>
        <v>#N/A</v>
      </c>
      <c r="AA82" s="64"/>
      <c r="AB82" s="16" t="e">
        <f>数出表_Excel!O82</f>
        <v>#N/A</v>
      </c>
      <c r="AC82" s="64"/>
      <c r="AD82" s="16" t="e">
        <f>数出表_Excel!P82</f>
        <v>#N/A</v>
      </c>
      <c r="AE82" s="64"/>
      <c r="AF82" s="16" t="e">
        <f>数出表_Excel!Q82</f>
        <v>#N/A</v>
      </c>
      <c r="AG82" s="64"/>
      <c r="AH82" s="16" t="e">
        <f>数出表_Excel!R82</f>
        <v>#N/A</v>
      </c>
      <c r="AI82" s="64"/>
      <c r="AJ82" s="16" t="e">
        <f>数出表_Excel!T82</f>
        <v>#N/A</v>
      </c>
      <c r="AK82" s="64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4"/>
      <c r="D84" s="16" t="e">
        <f>数出表_Excel!C84</f>
        <v>#N/A</v>
      </c>
      <c r="E84" s="64"/>
      <c r="F84" s="16" t="e">
        <f>数出表_Excel!D84</f>
        <v>#N/A</v>
      </c>
      <c r="G84" s="64"/>
      <c r="H84" s="16" t="e">
        <f>数出表_Excel!E84</f>
        <v>#N/A</v>
      </c>
      <c r="I84" s="64"/>
      <c r="J84" s="16" t="e">
        <f>数出表_Excel!F84</f>
        <v>#N/A</v>
      </c>
      <c r="K84" s="64"/>
      <c r="L84" s="16" t="e">
        <f>数出表_Excel!G84</f>
        <v>#N/A</v>
      </c>
      <c r="M84" s="64"/>
      <c r="N84" s="16" t="e">
        <f>数出表_Excel!H84</f>
        <v>#N/A</v>
      </c>
      <c r="O84" s="64"/>
      <c r="P84" s="16" t="e">
        <f>数出表_Excel!I84</f>
        <v>#N/A</v>
      </c>
      <c r="Q84" s="64"/>
      <c r="R84" s="16" t="e">
        <f>数出表_Excel!J84</f>
        <v>#N/A</v>
      </c>
      <c r="S84" s="64"/>
      <c r="T84" s="16" t="e">
        <f>数出表_Excel!K84</f>
        <v>#N/A</v>
      </c>
      <c r="U84" s="64"/>
      <c r="V84" s="16" t="e">
        <f>数出表_Excel!L84</f>
        <v>#N/A</v>
      </c>
      <c r="W84" s="64"/>
      <c r="X84" s="16" t="e">
        <f>数出表_Excel!M84</f>
        <v>#N/A</v>
      </c>
      <c r="Y84" s="64"/>
      <c r="Z84" s="16" t="e">
        <f>数出表_Excel!N84</f>
        <v>#N/A</v>
      </c>
      <c r="AA84" s="64"/>
      <c r="AB84" s="16" t="e">
        <f>数出表_Excel!O84</f>
        <v>#N/A</v>
      </c>
      <c r="AC84" s="64"/>
      <c r="AD84" s="16" t="e">
        <f>数出表_Excel!P84</f>
        <v>#N/A</v>
      </c>
      <c r="AE84" s="64"/>
      <c r="AF84" s="16" t="e">
        <f>数出表_Excel!Q84</f>
        <v>#N/A</v>
      </c>
      <c r="AG84" s="64"/>
      <c r="AH84" s="16" t="e">
        <f>数出表_Excel!R84</f>
        <v>#N/A</v>
      </c>
      <c r="AI84" s="64"/>
      <c r="AJ84" s="16" t="e">
        <f>数出表_Excel!T84</f>
        <v>#N/A</v>
      </c>
      <c r="AK84" s="64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4"/>
      <c r="D86" s="16" t="e">
        <f>数出表_Excel!C86</f>
        <v>#N/A</v>
      </c>
      <c r="E86" s="64"/>
      <c r="F86" s="16" t="e">
        <f>数出表_Excel!D86</f>
        <v>#N/A</v>
      </c>
      <c r="G86" s="64"/>
      <c r="H86" s="16" t="e">
        <f>数出表_Excel!E86</f>
        <v>#N/A</v>
      </c>
      <c r="I86" s="64"/>
      <c r="J86" s="16" t="e">
        <f>数出表_Excel!F86</f>
        <v>#N/A</v>
      </c>
      <c r="K86" s="64"/>
      <c r="L86" s="16" t="e">
        <f>数出表_Excel!G86</f>
        <v>#N/A</v>
      </c>
      <c r="M86" s="64"/>
      <c r="N86" s="16" t="e">
        <f>数出表_Excel!H86</f>
        <v>#N/A</v>
      </c>
      <c r="O86" s="64"/>
      <c r="P86" s="16" t="e">
        <f>数出表_Excel!I86</f>
        <v>#N/A</v>
      </c>
      <c r="Q86" s="64"/>
      <c r="R86" s="16" t="e">
        <f>数出表_Excel!J86</f>
        <v>#N/A</v>
      </c>
      <c r="S86" s="64"/>
      <c r="T86" s="16" t="e">
        <f>数出表_Excel!K86</f>
        <v>#N/A</v>
      </c>
      <c r="U86" s="64"/>
      <c r="V86" s="16" t="e">
        <f>数出表_Excel!L86</f>
        <v>#N/A</v>
      </c>
      <c r="W86" s="64"/>
      <c r="X86" s="16" t="e">
        <f>数出表_Excel!M86</f>
        <v>#N/A</v>
      </c>
      <c r="Y86" s="64"/>
      <c r="Z86" s="16" t="e">
        <f>数出表_Excel!N86</f>
        <v>#N/A</v>
      </c>
      <c r="AA86" s="64"/>
      <c r="AB86" s="16" t="e">
        <f>数出表_Excel!O86</f>
        <v>#N/A</v>
      </c>
      <c r="AC86" s="64"/>
      <c r="AD86" s="16" t="e">
        <f>数出表_Excel!P86</f>
        <v>#N/A</v>
      </c>
      <c r="AE86" s="64"/>
      <c r="AF86" s="16" t="e">
        <f>数出表_Excel!Q86</f>
        <v>#N/A</v>
      </c>
      <c r="AG86" s="64"/>
      <c r="AH86" s="16" t="e">
        <f>数出表_Excel!R86</f>
        <v>#N/A</v>
      </c>
      <c r="AI86" s="64"/>
      <c r="AJ86" s="16" t="e">
        <f>数出表_Excel!T86</f>
        <v>#N/A</v>
      </c>
      <c r="AK86" s="64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4"/>
      <c r="D88" s="16" t="e">
        <f>数出表_Excel!C88</f>
        <v>#N/A</v>
      </c>
      <c r="E88" s="64"/>
      <c r="F88" s="16" t="e">
        <f>数出表_Excel!D88</f>
        <v>#N/A</v>
      </c>
      <c r="G88" s="64"/>
      <c r="H88" s="16" t="e">
        <f>数出表_Excel!E88</f>
        <v>#N/A</v>
      </c>
      <c r="I88" s="64"/>
      <c r="J88" s="16" t="e">
        <f>数出表_Excel!F88</f>
        <v>#N/A</v>
      </c>
      <c r="K88" s="64"/>
      <c r="L88" s="16" t="e">
        <f>数出表_Excel!G88</f>
        <v>#N/A</v>
      </c>
      <c r="M88" s="64"/>
      <c r="N88" s="16" t="e">
        <f>数出表_Excel!H88</f>
        <v>#N/A</v>
      </c>
      <c r="O88" s="64"/>
      <c r="P88" s="16" t="e">
        <f>数出表_Excel!I88</f>
        <v>#N/A</v>
      </c>
      <c r="Q88" s="64"/>
      <c r="R88" s="16" t="e">
        <f>数出表_Excel!J88</f>
        <v>#N/A</v>
      </c>
      <c r="S88" s="64"/>
      <c r="T88" s="16" t="e">
        <f>数出表_Excel!K88</f>
        <v>#N/A</v>
      </c>
      <c r="U88" s="64"/>
      <c r="V88" s="16" t="e">
        <f>数出表_Excel!L88</f>
        <v>#N/A</v>
      </c>
      <c r="W88" s="64"/>
      <c r="X88" s="16" t="e">
        <f>数出表_Excel!M88</f>
        <v>#N/A</v>
      </c>
      <c r="Y88" s="64"/>
      <c r="Z88" s="16" t="e">
        <f>数出表_Excel!N88</f>
        <v>#N/A</v>
      </c>
      <c r="AA88" s="64"/>
      <c r="AB88" s="16" t="e">
        <f>数出表_Excel!O88</f>
        <v>#N/A</v>
      </c>
      <c r="AC88" s="64"/>
      <c r="AD88" s="16" t="e">
        <f>数出表_Excel!P88</f>
        <v>#N/A</v>
      </c>
      <c r="AE88" s="64"/>
      <c r="AF88" s="16" t="e">
        <f>数出表_Excel!Q88</f>
        <v>#N/A</v>
      </c>
      <c r="AG88" s="64"/>
      <c r="AH88" s="16" t="e">
        <f>数出表_Excel!R88</f>
        <v>#N/A</v>
      </c>
      <c r="AI88" s="64"/>
      <c r="AJ88" s="16" t="e">
        <f>数出表_Excel!T88</f>
        <v>#N/A</v>
      </c>
      <c r="AK88" s="64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4"/>
      <c r="D90" s="16" t="e">
        <f>数出表_Excel!C90</f>
        <v>#N/A</v>
      </c>
      <c r="E90" s="64"/>
      <c r="F90" s="16" t="e">
        <f>数出表_Excel!D90</f>
        <v>#N/A</v>
      </c>
      <c r="G90" s="64"/>
      <c r="H90" s="16" t="e">
        <f>数出表_Excel!E90</f>
        <v>#N/A</v>
      </c>
      <c r="I90" s="64"/>
      <c r="J90" s="16" t="e">
        <f>数出表_Excel!F90</f>
        <v>#N/A</v>
      </c>
      <c r="K90" s="64"/>
      <c r="L90" s="16" t="e">
        <f>数出表_Excel!G90</f>
        <v>#N/A</v>
      </c>
      <c r="M90" s="64"/>
      <c r="N90" s="16" t="e">
        <f>数出表_Excel!H90</f>
        <v>#N/A</v>
      </c>
      <c r="O90" s="64"/>
      <c r="P90" s="16" t="e">
        <f>数出表_Excel!I90</f>
        <v>#N/A</v>
      </c>
      <c r="Q90" s="64"/>
      <c r="R90" s="16" t="e">
        <f>数出表_Excel!J90</f>
        <v>#N/A</v>
      </c>
      <c r="S90" s="64"/>
      <c r="T90" s="16" t="e">
        <f>数出表_Excel!K90</f>
        <v>#N/A</v>
      </c>
      <c r="U90" s="64"/>
      <c r="V90" s="16" t="e">
        <f>数出表_Excel!L90</f>
        <v>#N/A</v>
      </c>
      <c r="W90" s="64"/>
      <c r="X90" s="16" t="e">
        <f>数出表_Excel!M90</f>
        <v>#N/A</v>
      </c>
      <c r="Y90" s="64"/>
      <c r="Z90" s="16" t="e">
        <f>数出表_Excel!N90</f>
        <v>#N/A</v>
      </c>
      <c r="AA90" s="64"/>
      <c r="AB90" s="16" t="e">
        <f>数出表_Excel!O90</f>
        <v>#N/A</v>
      </c>
      <c r="AC90" s="64"/>
      <c r="AD90" s="16" t="e">
        <f>数出表_Excel!P90</f>
        <v>#N/A</v>
      </c>
      <c r="AE90" s="64"/>
      <c r="AF90" s="16" t="e">
        <f>数出表_Excel!Q90</f>
        <v>#N/A</v>
      </c>
      <c r="AG90" s="64"/>
      <c r="AH90" s="16" t="e">
        <f>数出表_Excel!R90</f>
        <v>#N/A</v>
      </c>
      <c r="AI90" s="64"/>
      <c r="AJ90" s="16" t="e">
        <f>数出表_Excel!T90</f>
        <v>#N/A</v>
      </c>
      <c r="AK90" s="64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4"/>
      <c r="D92" s="16" t="e">
        <f>数出表_Excel!C92</f>
        <v>#N/A</v>
      </c>
      <c r="E92" s="64"/>
      <c r="F92" s="16" t="e">
        <f>数出表_Excel!D92</f>
        <v>#N/A</v>
      </c>
      <c r="G92" s="64"/>
      <c r="H92" s="16" t="e">
        <f>数出表_Excel!E92</f>
        <v>#N/A</v>
      </c>
      <c r="I92" s="64"/>
      <c r="J92" s="16" t="e">
        <f>数出表_Excel!F92</f>
        <v>#N/A</v>
      </c>
      <c r="K92" s="64"/>
      <c r="L92" s="16" t="e">
        <f>数出表_Excel!G92</f>
        <v>#N/A</v>
      </c>
      <c r="M92" s="64"/>
      <c r="N92" s="16" t="e">
        <f>数出表_Excel!H92</f>
        <v>#N/A</v>
      </c>
      <c r="O92" s="64"/>
      <c r="P92" s="16" t="e">
        <f>数出表_Excel!I92</f>
        <v>#N/A</v>
      </c>
      <c r="Q92" s="64"/>
      <c r="R92" s="16" t="e">
        <f>数出表_Excel!J92</f>
        <v>#N/A</v>
      </c>
      <c r="S92" s="64"/>
      <c r="T92" s="16" t="e">
        <f>数出表_Excel!K92</f>
        <v>#N/A</v>
      </c>
      <c r="U92" s="64"/>
      <c r="V92" s="16" t="e">
        <f>数出表_Excel!L92</f>
        <v>#N/A</v>
      </c>
      <c r="W92" s="64"/>
      <c r="X92" s="16" t="e">
        <f>数出表_Excel!M92</f>
        <v>#N/A</v>
      </c>
      <c r="Y92" s="64"/>
      <c r="Z92" s="16" t="e">
        <f>数出表_Excel!N92</f>
        <v>#N/A</v>
      </c>
      <c r="AA92" s="64"/>
      <c r="AB92" s="16" t="e">
        <f>数出表_Excel!O92</f>
        <v>#N/A</v>
      </c>
      <c r="AC92" s="64"/>
      <c r="AD92" s="16" t="e">
        <f>数出表_Excel!P92</f>
        <v>#N/A</v>
      </c>
      <c r="AE92" s="64"/>
      <c r="AF92" s="16" t="e">
        <f>数出表_Excel!Q92</f>
        <v>#N/A</v>
      </c>
      <c r="AG92" s="64"/>
      <c r="AH92" s="16" t="e">
        <f>数出表_Excel!R92</f>
        <v>#N/A</v>
      </c>
      <c r="AI92" s="64"/>
      <c r="AJ92" s="16" t="e">
        <f>数出表_Excel!T92</f>
        <v>#N/A</v>
      </c>
      <c r="AK92" s="64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4"/>
      <c r="D94" s="16" t="e">
        <f>数出表_Excel!C94</f>
        <v>#N/A</v>
      </c>
      <c r="E94" s="64"/>
      <c r="F94" s="16" t="e">
        <f>数出表_Excel!D94</f>
        <v>#N/A</v>
      </c>
      <c r="G94" s="64"/>
      <c r="H94" s="16" t="e">
        <f>数出表_Excel!E94</f>
        <v>#N/A</v>
      </c>
      <c r="I94" s="64"/>
      <c r="J94" s="16" t="e">
        <f>数出表_Excel!F94</f>
        <v>#N/A</v>
      </c>
      <c r="K94" s="64"/>
      <c r="L94" s="16" t="e">
        <f>数出表_Excel!G94</f>
        <v>#N/A</v>
      </c>
      <c r="M94" s="64"/>
      <c r="N94" s="16" t="e">
        <f>数出表_Excel!H94</f>
        <v>#N/A</v>
      </c>
      <c r="O94" s="64"/>
      <c r="P94" s="16" t="e">
        <f>数出表_Excel!I94</f>
        <v>#N/A</v>
      </c>
      <c r="Q94" s="64"/>
      <c r="R94" s="16" t="e">
        <f>数出表_Excel!J94</f>
        <v>#N/A</v>
      </c>
      <c r="S94" s="64"/>
      <c r="T94" s="16" t="e">
        <f>数出表_Excel!K94</f>
        <v>#N/A</v>
      </c>
      <c r="U94" s="64"/>
      <c r="V94" s="16" t="e">
        <f>数出表_Excel!L94</f>
        <v>#N/A</v>
      </c>
      <c r="W94" s="64"/>
      <c r="X94" s="16" t="e">
        <f>数出表_Excel!M94</f>
        <v>#N/A</v>
      </c>
      <c r="Y94" s="64"/>
      <c r="Z94" s="16" t="e">
        <f>数出表_Excel!N94</f>
        <v>#N/A</v>
      </c>
      <c r="AA94" s="64"/>
      <c r="AB94" s="16" t="e">
        <f>数出表_Excel!O94</f>
        <v>#N/A</v>
      </c>
      <c r="AC94" s="64"/>
      <c r="AD94" s="16" t="e">
        <f>数出表_Excel!P94</f>
        <v>#N/A</v>
      </c>
      <c r="AE94" s="64"/>
      <c r="AF94" s="16" t="e">
        <f>数出表_Excel!Q94</f>
        <v>#N/A</v>
      </c>
      <c r="AG94" s="64"/>
      <c r="AH94" s="16" t="e">
        <f>数出表_Excel!R94</f>
        <v>#N/A</v>
      </c>
      <c r="AI94" s="64"/>
      <c r="AJ94" s="16" t="e">
        <f>数出表_Excel!T94</f>
        <v>#N/A</v>
      </c>
      <c r="AK94" s="64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4"/>
      <c r="D96" s="16" t="e">
        <f>数出表_Excel!C96</f>
        <v>#N/A</v>
      </c>
      <c r="E96" s="64"/>
      <c r="F96" s="16" t="e">
        <f>数出表_Excel!D96</f>
        <v>#N/A</v>
      </c>
      <c r="G96" s="64"/>
      <c r="H96" s="16" t="e">
        <f>数出表_Excel!E96</f>
        <v>#N/A</v>
      </c>
      <c r="I96" s="64"/>
      <c r="J96" s="16" t="e">
        <f>数出表_Excel!F96</f>
        <v>#N/A</v>
      </c>
      <c r="K96" s="64"/>
      <c r="L96" s="16" t="e">
        <f>数出表_Excel!G96</f>
        <v>#N/A</v>
      </c>
      <c r="M96" s="64"/>
      <c r="N96" s="16" t="e">
        <f>数出表_Excel!H96</f>
        <v>#N/A</v>
      </c>
      <c r="O96" s="64"/>
      <c r="P96" s="16" t="e">
        <f>数出表_Excel!I96</f>
        <v>#N/A</v>
      </c>
      <c r="Q96" s="64"/>
      <c r="R96" s="16" t="e">
        <f>数出表_Excel!J96</f>
        <v>#N/A</v>
      </c>
      <c r="S96" s="64"/>
      <c r="T96" s="16" t="e">
        <f>数出表_Excel!K96</f>
        <v>#N/A</v>
      </c>
      <c r="U96" s="64"/>
      <c r="V96" s="16" t="e">
        <f>数出表_Excel!L96</f>
        <v>#N/A</v>
      </c>
      <c r="W96" s="64"/>
      <c r="X96" s="16" t="e">
        <f>数出表_Excel!M96</f>
        <v>#N/A</v>
      </c>
      <c r="Y96" s="64"/>
      <c r="Z96" s="16" t="e">
        <f>数出表_Excel!N96</f>
        <v>#N/A</v>
      </c>
      <c r="AA96" s="64"/>
      <c r="AB96" s="16" t="e">
        <f>数出表_Excel!O96</f>
        <v>#N/A</v>
      </c>
      <c r="AC96" s="64"/>
      <c r="AD96" s="16" t="e">
        <f>数出表_Excel!P96</f>
        <v>#N/A</v>
      </c>
      <c r="AE96" s="64"/>
      <c r="AF96" s="16" t="e">
        <f>数出表_Excel!Q96</f>
        <v>#N/A</v>
      </c>
      <c r="AG96" s="64"/>
      <c r="AH96" s="16" t="e">
        <f>数出表_Excel!R96</f>
        <v>#N/A</v>
      </c>
      <c r="AI96" s="64"/>
      <c r="AJ96" s="16" t="e">
        <f>数出表_Excel!T96</f>
        <v>#N/A</v>
      </c>
      <c r="AK96" s="64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4"/>
      <c r="D98" s="16" t="e">
        <f>数出表_Excel!C98</f>
        <v>#N/A</v>
      </c>
      <c r="E98" s="64"/>
      <c r="F98" s="16" t="e">
        <f>数出表_Excel!D98</f>
        <v>#N/A</v>
      </c>
      <c r="G98" s="64"/>
      <c r="H98" s="16" t="e">
        <f>数出表_Excel!E98</f>
        <v>#N/A</v>
      </c>
      <c r="I98" s="64"/>
      <c r="J98" s="16" t="e">
        <f>数出表_Excel!F98</f>
        <v>#N/A</v>
      </c>
      <c r="K98" s="64"/>
      <c r="L98" s="16" t="e">
        <f>数出表_Excel!G98</f>
        <v>#N/A</v>
      </c>
      <c r="M98" s="64"/>
      <c r="N98" s="16" t="e">
        <f>数出表_Excel!H98</f>
        <v>#N/A</v>
      </c>
      <c r="O98" s="64"/>
      <c r="P98" s="16" t="e">
        <f>数出表_Excel!I98</f>
        <v>#N/A</v>
      </c>
      <c r="Q98" s="64"/>
      <c r="R98" s="16" t="e">
        <f>数出表_Excel!J98</f>
        <v>#N/A</v>
      </c>
      <c r="S98" s="64"/>
      <c r="T98" s="16" t="e">
        <f>数出表_Excel!K98</f>
        <v>#N/A</v>
      </c>
      <c r="U98" s="64"/>
      <c r="V98" s="16" t="e">
        <f>数出表_Excel!L98</f>
        <v>#N/A</v>
      </c>
      <c r="W98" s="64"/>
      <c r="X98" s="16" t="e">
        <f>数出表_Excel!M98</f>
        <v>#N/A</v>
      </c>
      <c r="Y98" s="64"/>
      <c r="Z98" s="16" t="e">
        <f>数出表_Excel!N98</f>
        <v>#N/A</v>
      </c>
      <c r="AA98" s="64"/>
      <c r="AB98" s="16" t="e">
        <f>数出表_Excel!O98</f>
        <v>#N/A</v>
      </c>
      <c r="AC98" s="64"/>
      <c r="AD98" s="16" t="e">
        <f>数出表_Excel!P98</f>
        <v>#N/A</v>
      </c>
      <c r="AE98" s="64"/>
      <c r="AF98" s="16" t="e">
        <f>数出表_Excel!Q98</f>
        <v>#N/A</v>
      </c>
      <c r="AG98" s="64"/>
      <c r="AH98" s="16" t="e">
        <f>数出表_Excel!R98</f>
        <v>#N/A</v>
      </c>
      <c r="AI98" s="64"/>
      <c r="AJ98" s="16" t="e">
        <f>数出表_Excel!T98</f>
        <v>#N/A</v>
      </c>
      <c r="AK98" s="64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4"/>
      <c r="D100" s="16" t="e">
        <f>数出表_Excel!C100</f>
        <v>#N/A</v>
      </c>
      <c r="E100" s="64"/>
      <c r="F100" s="16" t="e">
        <f>数出表_Excel!D100</f>
        <v>#N/A</v>
      </c>
      <c r="G100" s="64"/>
      <c r="H100" s="16" t="e">
        <f>数出表_Excel!E100</f>
        <v>#N/A</v>
      </c>
      <c r="I100" s="64"/>
      <c r="J100" s="16" t="e">
        <f>数出表_Excel!F100</f>
        <v>#N/A</v>
      </c>
      <c r="K100" s="64"/>
      <c r="L100" s="16" t="e">
        <f>数出表_Excel!G100</f>
        <v>#N/A</v>
      </c>
      <c r="M100" s="64"/>
      <c r="N100" s="16" t="e">
        <f>数出表_Excel!H100</f>
        <v>#N/A</v>
      </c>
      <c r="O100" s="64"/>
      <c r="P100" s="16" t="e">
        <f>数出表_Excel!I100</f>
        <v>#N/A</v>
      </c>
      <c r="Q100" s="64"/>
      <c r="R100" s="16" t="e">
        <f>数出表_Excel!J100</f>
        <v>#N/A</v>
      </c>
      <c r="S100" s="64"/>
      <c r="T100" s="16" t="e">
        <f>数出表_Excel!K100</f>
        <v>#N/A</v>
      </c>
      <c r="U100" s="64"/>
      <c r="V100" s="16" t="e">
        <f>数出表_Excel!L100</f>
        <v>#N/A</v>
      </c>
      <c r="W100" s="64"/>
      <c r="X100" s="16" t="e">
        <f>数出表_Excel!M100</f>
        <v>#N/A</v>
      </c>
      <c r="Y100" s="64"/>
      <c r="Z100" s="16" t="e">
        <f>数出表_Excel!N100</f>
        <v>#N/A</v>
      </c>
      <c r="AA100" s="64"/>
      <c r="AB100" s="16" t="e">
        <f>数出表_Excel!O100</f>
        <v>#N/A</v>
      </c>
      <c r="AC100" s="64"/>
      <c r="AD100" s="16" t="e">
        <f>数出表_Excel!P100</f>
        <v>#N/A</v>
      </c>
      <c r="AE100" s="64"/>
      <c r="AF100" s="16" t="e">
        <f>数出表_Excel!Q100</f>
        <v>#N/A</v>
      </c>
      <c r="AG100" s="64"/>
      <c r="AH100" s="16" t="e">
        <f>数出表_Excel!R100</f>
        <v>#N/A</v>
      </c>
      <c r="AI100" s="64"/>
      <c r="AJ100" s="16" t="e">
        <f>数出表_Excel!T100</f>
        <v>#N/A</v>
      </c>
      <c r="AK100" s="64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4"/>
      <c r="D102" s="16" t="e">
        <f>数出表_Excel!C102</f>
        <v>#N/A</v>
      </c>
      <c r="E102" s="64"/>
      <c r="F102" s="16" t="e">
        <f>数出表_Excel!D102</f>
        <v>#N/A</v>
      </c>
      <c r="G102" s="64"/>
      <c r="H102" s="16" t="e">
        <f>数出表_Excel!E102</f>
        <v>#N/A</v>
      </c>
      <c r="I102" s="64"/>
      <c r="J102" s="16" t="e">
        <f>数出表_Excel!F102</f>
        <v>#N/A</v>
      </c>
      <c r="K102" s="64"/>
      <c r="L102" s="16" t="e">
        <f>数出表_Excel!G102</f>
        <v>#N/A</v>
      </c>
      <c r="M102" s="64"/>
      <c r="N102" s="16" t="e">
        <f>数出表_Excel!H102</f>
        <v>#N/A</v>
      </c>
      <c r="O102" s="64"/>
      <c r="P102" s="16" t="e">
        <f>数出表_Excel!I102</f>
        <v>#N/A</v>
      </c>
      <c r="Q102" s="64"/>
      <c r="R102" s="16" t="e">
        <f>数出表_Excel!J102</f>
        <v>#N/A</v>
      </c>
      <c r="S102" s="64"/>
      <c r="T102" s="16" t="e">
        <f>数出表_Excel!K102</f>
        <v>#N/A</v>
      </c>
      <c r="U102" s="64"/>
      <c r="V102" s="16" t="e">
        <f>数出表_Excel!L102</f>
        <v>#N/A</v>
      </c>
      <c r="W102" s="64"/>
      <c r="X102" s="16" t="e">
        <f>数出表_Excel!M102</f>
        <v>#N/A</v>
      </c>
      <c r="Y102" s="64"/>
      <c r="Z102" s="16" t="e">
        <f>数出表_Excel!N102</f>
        <v>#N/A</v>
      </c>
      <c r="AA102" s="64"/>
      <c r="AB102" s="16" t="e">
        <f>数出表_Excel!O102</f>
        <v>#N/A</v>
      </c>
      <c r="AC102" s="64"/>
      <c r="AD102" s="16" t="e">
        <f>数出表_Excel!P102</f>
        <v>#N/A</v>
      </c>
      <c r="AE102" s="64"/>
      <c r="AF102" s="16" t="e">
        <f>数出表_Excel!Q102</f>
        <v>#N/A</v>
      </c>
      <c r="AG102" s="64"/>
      <c r="AH102" s="16" t="e">
        <f>数出表_Excel!R102</f>
        <v>#N/A</v>
      </c>
      <c r="AI102" s="64"/>
      <c r="AJ102" s="16" t="e">
        <f>数出表_Excel!T102</f>
        <v>#N/A</v>
      </c>
      <c r="AK102" s="64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4"/>
      <c r="D104" s="16" t="e">
        <f>数出表_Excel!C104</f>
        <v>#N/A</v>
      </c>
      <c r="E104" s="64"/>
      <c r="F104" s="16" t="e">
        <f>数出表_Excel!D104</f>
        <v>#N/A</v>
      </c>
      <c r="G104" s="64"/>
      <c r="H104" s="16" t="e">
        <f>数出表_Excel!E104</f>
        <v>#N/A</v>
      </c>
      <c r="I104" s="64"/>
      <c r="J104" s="16" t="e">
        <f>数出表_Excel!F104</f>
        <v>#N/A</v>
      </c>
      <c r="K104" s="64"/>
      <c r="L104" s="16" t="e">
        <f>数出表_Excel!G104</f>
        <v>#N/A</v>
      </c>
      <c r="M104" s="64"/>
      <c r="N104" s="16" t="e">
        <f>数出表_Excel!H104</f>
        <v>#N/A</v>
      </c>
      <c r="O104" s="64"/>
      <c r="P104" s="16" t="e">
        <f>数出表_Excel!I104</f>
        <v>#N/A</v>
      </c>
      <c r="Q104" s="64"/>
      <c r="R104" s="16" t="e">
        <f>数出表_Excel!J104</f>
        <v>#N/A</v>
      </c>
      <c r="S104" s="64"/>
      <c r="T104" s="16" t="e">
        <f>数出表_Excel!K104</f>
        <v>#N/A</v>
      </c>
      <c r="U104" s="64"/>
      <c r="V104" s="16" t="e">
        <f>数出表_Excel!L104</f>
        <v>#N/A</v>
      </c>
      <c r="W104" s="64"/>
      <c r="X104" s="16" t="e">
        <f>数出表_Excel!M104</f>
        <v>#N/A</v>
      </c>
      <c r="Y104" s="64"/>
      <c r="Z104" s="16" t="e">
        <f>数出表_Excel!N104</f>
        <v>#N/A</v>
      </c>
      <c r="AA104" s="64"/>
      <c r="AB104" s="16" t="e">
        <f>数出表_Excel!O104</f>
        <v>#N/A</v>
      </c>
      <c r="AC104" s="64"/>
      <c r="AD104" s="16" t="e">
        <f>数出表_Excel!P104</f>
        <v>#N/A</v>
      </c>
      <c r="AE104" s="64"/>
      <c r="AF104" s="16" t="e">
        <f>数出表_Excel!Q104</f>
        <v>#N/A</v>
      </c>
      <c r="AG104" s="64"/>
      <c r="AH104" s="16" t="e">
        <f>数出表_Excel!R104</f>
        <v>#N/A</v>
      </c>
      <c r="AI104" s="64"/>
      <c r="AJ104" s="16" t="e">
        <f>数出表_Excel!T104</f>
        <v>#N/A</v>
      </c>
      <c r="AK104" s="64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4"/>
      <c r="D106" s="16" t="e">
        <f>数出表_Excel!C106</f>
        <v>#N/A</v>
      </c>
      <c r="E106" s="64"/>
      <c r="F106" s="16" t="e">
        <f>数出表_Excel!D106</f>
        <v>#N/A</v>
      </c>
      <c r="G106" s="64"/>
      <c r="H106" s="16" t="e">
        <f>数出表_Excel!E106</f>
        <v>#N/A</v>
      </c>
      <c r="I106" s="64"/>
      <c r="J106" s="16" t="e">
        <f>数出表_Excel!F106</f>
        <v>#N/A</v>
      </c>
      <c r="K106" s="64"/>
      <c r="L106" s="16" t="e">
        <f>数出表_Excel!G106</f>
        <v>#N/A</v>
      </c>
      <c r="M106" s="64"/>
      <c r="N106" s="16" t="e">
        <f>数出表_Excel!H106</f>
        <v>#N/A</v>
      </c>
      <c r="O106" s="64"/>
      <c r="P106" s="16" t="e">
        <f>数出表_Excel!I106</f>
        <v>#N/A</v>
      </c>
      <c r="Q106" s="64"/>
      <c r="R106" s="16" t="e">
        <f>数出表_Excel!J106</f>
        <v>#N/A</v>
      </c>
      <c r="S106" s="64"/>
      <c r="T106" s="16" t="e">
        <f>数出表_Excel!K106</f>
        <v>#N/A</v>
      </c>
      <c r="U106" s="64"/>
      <c r="V106" s="16" t="e">
        <f>数出表_Excel!L106</f>
        <v>#N/A</v>
      </c>
      <c r="W106" s="64"/>
      <c r="X106" s="16" t="e">
        <f>数出表_Excel!M106</f>
        <v>#N/A</v>
      </c>
      <c r="Y106" s="64"/>
      <c r="Z106" s="16" t="e">
        <f>数出表_Excel!N106</f>
        <v>#N/A</v>
      </c>
      <c r="AA106" s="64"/>
      <c r="AB106" s="16" t="e">
        <f>数出表_Excel!O106</f>
        <v>#N/A</v>
      </c>
      <c r="AC106" s="64"/>
      <c r="AD106" s="16" t="e">
        <f>数出表_Excel!P106</f>
        <v>#N/A</v>
      </c>
      <c r="AE106" s="64"/>
      <c r="AF106" s="16" t="e">
        <f>数出表_Excel!Q106</f>
        <v>#N/A</v>
      </c>
      <c r="AG106" s="64"/>
      <c r="AH106" s="16" t="e">
        <f>数出表_Excel!R106</f>
        <v>#N/A</v>
      </c>
      <c r="AI106" s="64"/>
      <c r="AJ106" s="16" t="e">
        <f>数出表_Excel!T106</f>
        <v>#N/A</v>
      </c>
      <c r="AK106" s="64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4"/>
      <c r="D108" s="16" t="e">
        <f>数出表_Excel!C108</f>
        <v>#N/A</v>
      </c>
      <c r="E108" s="64"/>
      <c r="F108" s="16" t="e">
        <f>数出表_Excel!D108</f>
        <v>#N/A</v>
      </c>
      <c r="G108" s="64"/>
      <c r="H108" s="16" t="e">
        <f>数出表_Excel!E108</f>
        <v>#N/A</v>
      </c>
      <c r="I108" s="64"/>
      <c r="J108" s="16" t="e">
        <f>数出表_Excel!F108</f>
        <v>#N/A</v>
      </c>
      <c r="K108" s="64"/>
      <c r="L108" s="16" t="e">
        <f>数出表_Excel!G108</f>
        <v>#N/A</v>
      </c>
      <c r="M108" s="64"/>
      <c r="N108" s="16" t="e">
        <f>数出表_Excel!H108</f>
        <v>#N/A</v>
      </c>
      <c r="O108" s="64"/>
      <c r="P108" s="16" t="e">
        <f>数出表_Excel!I108</f>
        <v>#N/A</v>
      </c>
      <c r="Q108" s="64"/>
      <c r="R108" s="16" t="e">
        <f>数出表_Excel!J108</f>
        <v>#N/A</v>
      </c>
      <c r="S108" s="64"/>
      <c r="T108" s="16" t="e">
        <f>数出表_Excel!K108</f>
        <v>#N/A</v>
      </c>
      <c r="U108" s="64"/>
      <c r="V108" s="16" t="e">
        <f>数出表_Excel!L108</f>
        <v>#N/A</v>
      </c>
      <c r="W108" s="64"/>
      <c r="X108" s="16" t="e">
        <f>数出表_Excel!M108</f>
        <v>#N/A</v>
      </c>
      <c r="Y108" s="64"/>
      <c r="Z108" s="16" t="e">
        <f>数出表_Excel!N108</f>
        <v>#N/A</v>
      </c>
      <c r="AA108" s="64"/>
      <c r="AB108" s="16" t="e">
        <f>数出表_Excel!O108</f>
        <v>#N/A</v>
      </c>
      <c r="AC108" s="64"/>
      <c r="AD108" s="16" t="e">
        <f>数出表_Excel!P108</f>
        <v>#N/A</v>
      </c>
      <c r="AE108" s="64"/>
      <c r="AF108" s="16" t="e">
        <f>数出表_Excel!Q108</f>
        <v>#N/A</v>
      </c>
      <c r="AG108" s="64"/>
      <c r="AH108" s="16" t="e">
        <f>数出表_Excel!R108</f>
        <v>#N/A</v>
      </c>
      <c r="AI108" s="64"/>
      <c r="AJ108" s="16" t="e">
        <f>数出表_Excel!T108</f>
        <v>#N/A</v>
      </c>
      <c r="AK108" s="64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4"/>
      <c r="D110" s="16" t="e">
        <f>数出表_Excel!C110</f>
        <v>#N/A</v>
      </c>
      <c r="E110" s="64"/>
      <c r="F110" s="16" t="e">
        <f>数出表_Excel!D110</f>
        <v>#N/A</v>
      </c>
      <c r="G110" s="64"/>
      <c r="H110" s="16" t="e">
        <f>数出表_Excel!E110</f>
        <v>#N/A</v>
      </c>
      <c r="I110" s="64"/>
      <c r="J110" s="16" t="e">
        <f>数出表_Excel!F110</f>
        <v>#N/A</v>
      </c>
      <c r="K110" s="64"/>
      <c r="L110" s="16" t="e">
        <f>数出表_Excel!G110</f>
        <v>#N/A</v>
      </c>
      <c r="M110" s="64"/>
      <c r="N110" s="16" t="e">
        <f>数出表_Excel!H110</f>
        <v>#N/A</v>
      </c>
      <c r="O110" s="64"/>
      <c r="P110" s="16" t="e">
        <f>数出表_Excel!I110</f>
        <v>#N/A</v>
      </c>
      <c r="Q110" s="64"/>
      <c r="R110" s="16" t="e">
        <f>数出表_Excel!J110</f>
        <v>#N/A</v>
      </c>
      <c r="S110" s="64"/>
      <c r="T110" s="16" t="e">
        <f>数出表_Excel!K110</f>
        <v>#N/A</v>
      </c>
      <c r="U110" s="64"/>
      <c r="V110" s="16" t="e">
        <f>数出表_Excel!L110</f>
        <v>#N/A</v>
      </c>
      <c r="W110" s="64"/>
      <c r="X110" s="16" t="e">
        <f>数出表_Excel!M110</f>
        <v>#N/A</v>
      </c>
      <c r="Y110" s="64"/>
      <c r="Z110" s="16" t="e">
        <f>数出表_Excel!N110</f>
        <v>#N/A</v>
      </c>
      <c r="AA110" s="64"/>
      <c r="AB110" s="16" t="e">
        <f>数出表_Excel!O110</f>
        <v>#N/A</v>
      </c>
      <c r="AC110" s="64"/>
      <c r="AD110" s="16" t="e">
        <f>数出表_Excel!P110</f>
        <v>#N/A</v>
      </c>
      <c r="AE110" s="64"/>
      <c r="AF110" s="16" t="e">
        <f>数出表_Excel!Q110</f>
        <v>#N/A</v>
      </c>
      <c r="AG110" s="64"/>
      <c r="AH110" s="16" t="e">
        <f>数出表_Excel!R110</f>
        <v>#N/A</v>
      </c>
      <c r="AI110" s="64"/>
      <c r="AJ110" s="16" t="e">
        <f>数出表_Excel!T110</f>
        <v>#N/A</v>
      </c>
      <c r="AK110" s="64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4"/>
      <c r="D112" s="16" t="e">
        <f>数出表_Excel!C112</f>
        <v>#N/A</v>
      </c>
      <c r="E112" s="64"/>
      <c r="F112" s="16" t="e">
        <f>数出表_Excel!D112</f>
        <v>#N/A</v>
      </c>
      <c r="G112" s="64"/>
      <c r="H112" s="16" t="e">
        <f>数出表_Excel!E112</f>
        <v>#N/A</v>
      </c>
      <c r="I112" s="64"/>
      <c r="J112" s="16" t="e">
        <f>数出表_Excel!F112</f>
        <v>#N/A</v>
      </c>
      <c r="K112" s="64"/>
      <c r="L112" s="16" t="e">
        <f>数出表_Excel!G112</f>
        <v>#N/A</v>
      </c>
      <c r="M112" s="64"/>
      <c r="N112" s="16" t="e">
        <f>数出表_Excel!H112</f>
        <v>#N/A</v>
      </c>
      <c r="O112" s="64"/>
      <c r="P112" s="16" t="e">
        <f>数出表_Excel!I112</f>
        <v>#N/A</v>
      </c>
      <c r="Q112" s="64"/>
      <c r="R112" s="16" t="e">
        <f>数出表_Excel!J112</f>
        <v>#N/A</v>
      </c>
      <c r="S112" s="64"/>
      <c r="T112" s="16" t="e">
        <f>数出表_Excel!K112</f>
        <v>#N/A</v>
      </c>
      <c r="U112" s="64"/>
      <c r="V112" s="16" t="e">
        <f>数出表_Excel!L112</f>
        <v>#N/A</v>
      </c>
      <c r="W112" s="64"/>
      <c r="X112" s="16" t="e">
        <f>数出表_Excel!M112</f>
        <v>#N/A</v>
      </c>
      <c r="Y112" s="64"/>
      <c r="Z112" s="16" t="e">
        <f>数出表_Excel!N112</f>
        <v>#N/A</v>
      </c>
      <c r="AA112" s="64"/>
      <c r="AB112" s="16" t="e">
        <f>数出表_Excel!O112</f>
        <v>#N/A</v>
      </c>
      <c r="AC112" s="64"/>
      <c r="AD112" s="16" t="e">
        <f>数出表_Excel!P112</f>
        <v>#N/A</v>
      </c>
      <c r="AE112" s="64"/>
      <c r="AF112" s="16" t="e">
        <f>数出表_Excel!Q112</f>
        <v>#N/A</v>
      </c>
      <c r="AG112" s="64"/>
      <c r="AH112" s="16" t="e">
        <f>数出表_Excel!R112</f>
        <v>#N/A</v>
      </c>
      <c r="AI112" s="64"/>
      <c r="AJ112" s="16" t="e">
        <f>数出表_Excel!T112</f>
        <v>#N/A</v>
      </c>
      <c r="AK112" s="64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4"/>
      <c r="D114" s="16" t="e">
        <f>数出表_Excel!C114</f>
        <v>#N/A</v>
      </c>
      <c r="E114" s="64"/>
      <c r="F114" s="16" t="e">
        <f>数出表_Excel!D114</f>
        <v>#N/A</v>
      </c>
      <c r="G114" s="64"/>
      <c r="H114" s="16" t="e">
        <f>数出表_Excel!E114</f>
        <v>#N/A</v>
      </c>
      <c r="I114" s="64"/>
      <c r="J114" s="16" t="e">
        <f>数出表_Excel!F114</f>
        <v>#N/A</v>
      </c>
      <c r="K114" s="64"/>
      <c r="L114" s="16" t="e">
        <f>数出表_Excel!G114</f>
        <v>#N/A</v>
      </c>
      <c r="M114" s="64"/>
      <c r="N114" s="16" t="e">
        <f>数出表_Excel!H114</f>
        <v>#N/A</v>
      </c>
      <c r="O114" s="64"/>
      <c r="P114" s="16" t="e">
        <f>数出表_Excel!I114</f>
        <v>#N/A</v>
      </c>
      <c r="Q114" s="64"/>
      <c r="R114" s="16" t="e">
        <f>数出表_Excel!J114</f>
        <v>#N/A</v>
      </c>
      <c r="S114" s="64"/>
      <c r="T114" s="16" t="e">
        <f>数出表_Excel!K114</f>
        <v>#N/A</v>
      </c>
      <c r="U114" s="64"/>
      <c r="V114" s="16" t="e">
        <f>数出表_Excel!L114</f>
        <v>#N/A</v>
      </c>
      <c r="W114" s="64"/>
      <c r="X114" s="16" t="e">
        <f>数出表_Excel!M114</f>
        <v>#N/A</v>
      </c>
      <c r="Y114" s="64"/>
      <c r="Z114" s="16" t="e">
        <f>数出表_Excel!N114</f>
        <v>#N/A</v>
      </c>
      <c r="AA114" s="64"/>
      <c r="AB114" s="16" t="e">
        <f>数出表_Excel!O114</f>
        <v>#N/A</v>
      </c>
      <c r="AC114" s="64"/>
      <c r="AD114" s="16" t="e">
        <f>数出表_Excel!P114</f>
        <v>#N/A</v>
      </c>
      <c r="AE114" s="64"/>
      <c r="AF114" s="16" t="e">
        <f>数出表_Excel!Q114</f>
        <v>#N/A</v>
      </c>
      <c r="AG114" s="64"/>
      <c r="AH114" s="16" t="e">
        <f>数出表_Excel!R114</f>
        <v>#N/A</v>
      </c>
      <c r="AI114" s="64"/>
      <c r="AJ114" s="16" t="e">
        <f>数出表_Excel!T114</f>
        <v>#N/A</v>
      </c>
      <c r="AK114" s="64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4"/>
      <c r="D116" s="16" t="e">
        <f>数出表_Excel!C116</f>
        <v>#N/A</v>
      </c>
      <c r="E116" s="64"/>
      <c r="F116" s="16" t="e">
        <f>数出表_Excel!D116</f>
        <v>#N/A</v>
      </c>
      <c r="G116" s="64"/>
      <c r="H116" s="16" t="e">
        <f>数出表_Excel!E116</f>
        <v>#N/A</v>
      </c>
      <c r="I116" s="64"/>
      <c r="J116" s="16" t="e">
        <f>数出表_Excel!F116</f>
        <v>#N/A</v>
      </c>
      <c r="K116" s="64"/>
      <c r="L116" s="16" t="e">
        <f>数出表_Excel!G116</f>
        <v>#N/A</v>
      </c>
      <c r="M116" s="64"/>
      <c r="N116" s="16" t="e">
        <f>数出表_Excel!H116</f>
        <v>#N/A</v>
      </c>
      <c r="O116" s="64"/>
      <c r="P116" s="16" t="e">
        <f>数出表_Excel!I116</f>
        <v>#N/A</v>
      </c>
      <c r="Q116" s="64"/>
      <c r="R116" s="16" t="e">
        <f>数出表_Excel!J116</f>
        <v>#N/A</v>
      </c>
      <c r="S116" s="64"/>
      <c r="T116" s="16" t="e">
        <f>数出表_Excel!K116</f>
        <v>#N/A</v>
      </c>
      <c r="U116" s="64"/>
      <c r="V116" s="16" t="e">
        <f>数出表_Excel!L116</f>
        <v>#N/A</v>
      </c>
      <c r="W116" s="64"/>
      <c r="X116" s="16" t="e">
        <f>数出表_Excel!M116</f>
        <v>#N/A</v>
      </c>
      <c r="Y116" s="64"/>
      <c r="Z116" s="16" t="e">
        <f>数出表_Excel!N116</f>
        <v>#N/A</v>
      </c>
      <c r="AA116" s="64"/>
      <c r="AB116" s="16" t="e">
        <f>数出表_Excel!O116</f>
        <v>#N/A</v>
      </c>
      <c r="AC116" s="64"/>
      <c r="AD116" s="16" t="e">
        <f>数出表_Excel!P116</f>
        <v>#N/A</v>
      </c>
      <c r="AE116" s="64"/>
      <c r="AF116" s="16" t="e">
        <f>数出表_Excel!Q116</f>
        <v>#N/A</v>
      </c>
      <c r="AG116" s="64"/>
      <c r="AH116" s="16" t="e">
        <f>数出表_Excel!R116</f>
        <v>#N/A</v>
      </c>
      <c r="AI116" s="64"/>
      <c r="AJ116" s="16" t="e">
        <f>数出表_Excel!T116</f>
        <v>#N/A</v>
      </c>
      <c r="AK116" s="64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4"/>
      <c r="D118" s="16" t="e">
        <f>数出表_Excel!C118</f>
        <v>#N/A</v>
      </c>
      <c r="E118" s="64"/>
      <c r="F118" s="16" t="e">
        <f>数出表_Excel!D118</f>
        <v>#N/A</v>
      </c>
      <c r="G118" s="64"/>
      <c r="H118" s="16" t="e">
        <f>数出表_Excel!E118</f>
        <v>#N/A</v>
      </c>
      <c r="I118" s="64"/>
      <c r="J118" s="16" t="e">
        <f>数出表_Excel!F118</f>
        <v>#N/A</v>
      </c>
      <c r="K118" s="64"/>
      <c r="L118" s="16" t="e">
        <f>数出表_Excel!G118</f>
        <v>#N/A</v>
      </c>
      <c r="M118" s="64"/>
      <c r="N118" s="16" t="e">
        <f>数出表_Excel!H118</f>
        <v>#N/A</v>
      </c>
      <c r="O118" s="64"/>
      <c r="P118" s="16" t="e">
        <f>数出表_Excel!I118</f>
        <v>#N/A</v>
      </c>
      <c r="Q118" s="64"/>
      <c r="R118" s="16" t="e">
        <f>数出表_Excel!J118</f>
        <v>#N/A</v>
      </c>
      <c r="S118" s="64"/>
      <c r="T118" s="16" t="e">
        <f>数出表_Excel!K118</f>
        <v>#N/A</v>
      </c>
      <c r="U118" s="64"/>
      <c r="V118" s="16" t="e">
        <f>数出表_Excel!L118</f>
        <v>#N/A</v>
      </c>
      <c r="W118" s="64"/>
      <c r="X118" s="16" t="e">
        <f>数出表_Excel!M118</f>
        <v>#N/A</v>
      </c>
      <c r="Y118" s="64"/>
      <c r="Z118" s="16" t="e">
        <f>数出表_Excel!N118</f>
        <v>#N/A</v>
      </c>
      <c r="AA118" s="64"/>
      <c r="AB118" s="16" t="e">
        <f>数出表_Excel!O118</f>
        <v>#N/A</v>
      </c>
      <c r="AC118" s="64"/>
      <c r="AD118" s="16" t="e">
        <f>数出表_Excel!P118</f>
        <v>#N/A</v>
      </c>
      <c r="AE118" s="64"/>
      <c r="AF118" s="16" t="e">
        <f>数出表_Excel!Q118</f>
        <v>#N/A</v>
      </c>
      <c r="AG118" s="64"/>
      <c r="AH118" s="16" t="e">
        <f>数出表_Excel!R118</f>
        <v>#N/A</v>
      </c>
      <c r="AI118" s="64"/>
      <c r="AJ118" s="16" t="e">
        <f>数出表_Excel!T118</f>
        <v>#N/A</v>
      </c>
      <c r="AK118" s="64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4"/>
      <c r="D120" s="16" t="e">
        <f>数出表_Excel!C120</f>
        <v>#N/A</v>
      </c>
      <c r="E120" s="64"/>
      <c r="F120" s="16" t="e">
        <f>数出表_Excel!D120</f>
        <v>#N/A</v>
      </c>
      <c r="G120" s="64"/>
      <c r="H120" s="16" t="e">
        <f>数出表_Excel!E120</f>
        <v>#N/A</v>
      </c>
      <c r="I120" s="64"/>
      <c r="J120" s="16" t="e">
        <f>数出表_Excel!F120</f>
        <v>#N/A</v>
      </c>
      <c r="K120" s="64"/>
      <c r="L120" s="16" t="e">
        <f>数出表_Excel!G120</f>
        <v>#N/A</v>
      </c>
      <c r="M120" s="64"/>
      <c r="N120" s="16" t="e">
        <f>数出表_Excel!H120</f>
        <v>#N/A</v>
      </c>
      <c r="O120" s="64"/>
      <c r="P120" s="16" t="e">
        <f>数出表_Excel!I120</f>
        <v>#N/A</v>
      </c>
      <c r="Q120" s="64"/>
      <c r="R120" s="16" t="e">
        <f>数出表_Excel!J120</f>
        <v>#N/A</v>
      </c>
      <c r="S120" s="64"/>
      <c r="T120" s="16" t="e">
        <f>数出表_Excel!K120</f>
        <v>#N/A</v>
      </c>
      <c r="U120" s="64"/>
      <c r="V120" s="16" t="e">
        <f>数出表_Excel!L120</f>
        <v>#N/A</v>
      </c>
      <c r="W120" s="64"/>
      <c r="X120" s="16" t="e">
        <f>数出表_Excel!M120</f>
        <v>#N/A</v>
      </c>
      <c r="Y120" s="64"/>
      <c r="Z120" s="16" t="e">
        <f>数出表_Excel!N120</f>
        <v>#N/A</v>
      </c>
      <c r="AA120" s="64"/>
      <c r="AB120" s="16" t="e">
        <f>数出表_Excel!O120</f>
        <v>#N/A</v>
      </c>
      <c r="AC120" s="64"/>
      <c r="AD120" s="16" t="e">
        <f>数出表_Excel!P120</f>
        <v>#N/A</v>
      </c>
      <c r="AE120" s="64"/>
      <c r="AF120" s="16" t="e">
        <f>数出表_Excel!Q120</f>
        <v>#N/A</v>
      </c>
      <c r="AG120" s="64"/>
      <c r="AH120" s="16" t="e">
        <f>数出表_Excel!R120</f>
        <v>#N/A</v>
      </c>
      <c r="AI120" s="64"/>
      <c r="AJ120" s="16" t="e">
        <f>数出表_Excel!T120</f>
        <v>#N/A</v>
      </c>
      <c r="AK120" s="64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4"/>
      <c r="D122" s="16" t="e">
        <f>数出表_Excel!C122</f>
        <v>#N/A</v>
      </c>
      <c r="E122" s="64"/>
      <c r="F122" s="16" t="e">
        <f>数出表_Excel!D122</f>
        <v>#N/A</v>
      </c>
      <c r="G122" s="64"/>
      <c r="H122" s="16" t="e">
        <f>数出表_Excel!E122</f>
        <v>#N/A</v>
      </c>
      <c r="I122" s="64"/>
      <c r="J122" s="16" t="e">
        <f>数出表_Excel!F122</f>
        <v>#N/A</v>
      </c>
      <c r="K122" s="64"/>
      <c r="L122" s="16" t="e">
        <f>数出表_Excel!G122</f>
        <v>#N/A</v>
      </c>
      <c r="M122" s="64"/>
      <c r="N122" s="16" t="e">
        <f>数出表_Excel!H122</f>
        <v>#N/A</v>
      </c>
      <c r="O122" s="64"/>
      <c r="P122" s="16" t="e">
        <f>数出表_Excel!I122</f>
        <v>#N/A</v>
      </c>
      <c r="Q122" s="64"/>
      <c r="R122" s="16" t="e">
        <f>数出表_Excel!J122</f>
        <v>#N/A</v>
      </c>
      <c r="S122" s="64"/>
      <c r="T122" s="16" t="e">
        <f>数出表_Excel!K122</f>
        <v>#N/A</v>
      </c>
      <c r="U122" s="64"/>
      <c r="V122" s="16" t="e">
        <f>数出表_Excel!L122</f>
        <v>#N/A</v>
      </c>
      <c r="W122" s="64"/>
      <c r="X122" s="16" t="e">
        <f>数出表_Excel!M122</f>
        <v>#N/A</v>
      </c>
      <c r="Y122" s="64"/>
      <c r="Z122" s="16" t="e">
        <f>数出表_Excel!N122</f>
        <v>#N/A</v>
      </c>
      <c r="AA122" s="64"/>
      <c r="AB122" s="16" t="e">
        <f>数出表_Excel!O122</f>
        <v>#N/A</v>
      </c>
      <c r="AC122" s="64"/>
      <c r="AD122" s="16" t="e">
        <f>数出表_Excel!P122</f>
        <v>#N/A</v>
      </c>
      <c r="AE122" s="64"/>
      <c r="AF122" s="16" t="e">
        <f>数出表_Excel!Q122</f>
        <v>#N/A</v>
      </c>
      <c r="AG122" s="64"/>
      <c r="AH122" s="16" t="e">
        <f>数出表_Excel!R122</f>
        <v>#N/A</v>
      </c>
      <c r="AI122" s="64"/>
      <c r="AJ122" s="16" t="e">
        <f>数出表_Excel!T122</f>
        <v>#N/A</v>
      </c>
      <c r="AK122" s="64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4"/>
      <c r="D124" s="16" t="e">
        <f>数出表_Excel!C124</f>
        <v>#N/A</v>
      </c>
      <c r="E124" s="64"/>
      <c r="F124" s="16" t="e">
        <f>数出表_Excel!D124</f>
        <v>#N/A</v>
      </c>
      <c r="G124" s="64"/>
      <c r="H124" s="16" t="e">
        <f>数出表_Excel!E124</f>
        <v>#N/A</v>
      </c>
      <c r="I124" s="64"/>
      <c r="J124" s="16" t="e">
        <f>数出表_Excel!F124</f>
        <v>#N/A</v>
      </c>
      <c r="K124" s="64"/>
      <c r="L124" s="16" t="e">
        <f>数出表_Excel!G124</f>
        <v>#N/A</v>
      </c>
      <c r="M124" s="64"/>
      <c r="N124" s="16" t="e">
        <f>数出表_Excel!H124</f>
        <v>#N/A</v>
      </c>
      <c r="O124" s="64"/>
      <c r="P124" s="16" t="e">
        <f>数出表_Excel!I124</f>
        <v>#N/A</v>
      </c>
      <c r="Q124" s="64"/>
      <c r="R124" s="16" t="e">
        <f>数出表_Excel!J124</f>
        <v>#N/A</v>
      </c>
      <c r="S124" s="64"/>
      <c r="T124" s="16" t="e">
        <f>数出表_Excel!K124</f>
        <v>#N/A</v>
      </c>
      <c r="U124" s="64"/>
      <c r="V124" s="16" t="e">
        <f>数出表_Excel!L124</f>
        <v>#N/A</v>
      </c>
      <c r="W124" s="64"/>
      <c r="X124" s="16" t="e">
        <f>数出表_Excel!M124</f>
        <v>#N/A</v>
      </c>
      <c r="Y124" s="64"/>
      <c r="Z124" s="16" t="e">
        <f>数出表_Excel!N124</f>
        <v>#N/A</v>
      </c>
      <c r="AA124" s="64"/>
      <c r="AB124" s="16" t="e">
        <f>数出表_Excel!O124</f>
        <v>#N/A</v>
      </c>
      <c r="AC124" s="64"/>
      <c r="AD124" s="16" t="e">
        <f>数出表_Excel!P124</f>
        <v>#N/A</v>
      </c>
      <c r="AE124" s="64"/>
      <c r="AF124" s="16" t="e">
        <f>数出表_Excel!Q124</f>
        <v>#N/A</v>
      </c>
      <c r="AG124" s="64"/>
      <c r="AH124" s="16" t="e">
        <f>数出表_Excel!R124</f>
        <v>#N/A</v>
      </c>
      <c r="AI124" s="64"/>
      <c r="AJ124" s="16" t="e">
        <f>数出表_Excel!T124</f>
        <v>#N/A</v>
      </c>
      <c r="AK124" s="64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4"/>
      <c r="D126" s="16" t="e">
        <f>数出表_Excel!C126</f>
        <v>#N/A</v>
      </c>
      <c r="E126" s="64"/>
      <c r="F126" s="16" t="e">
        <f>数出表_Excel!D126</f>
        <v>#N/A</v>
      </c>
      <c r="G126" s="64"/>
      <c r="H126" s="16" t="e">
        <f>数出表_Excel!E126</f>
        <v>#N/A</v>
      </c>
      <c r="I126" s="64"/>
      <c r="J126" s="16" t="e">
        <f>数出表_Excel!F126</f>
        <v>#N/A</v>
      </c>
      <c r="K126" s="64"/>
      <c r="L126" s="16" t="e">
        <f>数出表_Excel!G126</f>
        <v>#N/A</v>
      </c>
      <c r="M126" s="64"/>
      <c r="N126" s="16" t="e">
        <f>数出表_Excel!H126</f>
        <v>#N/A</v>
      </c>
      <c r="O126" s="64"/>
      <c r="P126" s="16" t="e">
        <f>数出表_Excel!I126</f>
        <v>#N/A</v>
      </c>
      <c r="Q126" s="64"/>
      <c r="R126" s="16" t="e">
        <f>数出表_Excel!J126</f>
        <v>#N/A</v>
      </c>
      <c r="S126" s="64"/>
      <c r="T126" s="16" t="e">
        <f>数出表_Excel!K126</f>
        <v>#N/A</v>
      </c>
      <c r="U126" s="64"/>
      <c r="V126" s="16" t="e">
        <f>数出表_Excel!L126</f>
        <v>#N/A</v>
      </c>
      <c r="W126" s="64"/>
      <c r="X126" s="16" t="e">
        <f>数出表_Excel!M126</f>
        <v>#N/A</v>
      </c>
      <c r="Y126" s="64"/>
      <c r="Z126" s="16" t="e">
        <f>数出表_Excel!N126</f>
        <v>#N/A</v>
      </c>
      <c r="AA126" s="64"/>
      <c r="AB126" s="16" t="e">
        <f>数出表_Excel!O126</f>
        <v>#N/A</v>
      </c>
      <c r="AC126" s="64"/>
      <c r="AD126" s="16" t="e">
        <f>数出表_Excel!P126</f>
        <v>#N/A</v>
      </c>
      <c r="AE126" s="64"/>
      <c r="AF126" s="16" t="e">
        <f>数出表_Excel!Q126</f>
        <v>#N/A</v>
      </c>
      <c r="AG126" s="64"/>
      <c r="AH126" s="16" t="e">
        <f>数出表_Excel!R126</f>
        <v>#N/A</v>
      </c>
      <c r="AI126" s="64"/>
      <c r="AJ126" s="16" t="e">
        <f>数出表_Excel!T126</f>
        <v>#N/A</v>
      </c>
      <c r="AK126" s="64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4"/>
      <c r="D128" s="16" t="e">
        <f>数出表_Excel!C128</f>
        <v>#N/A</v>
      </c>
      <c r="E128" s="64"/>
      <c r="F128" s="16" t="e">
        <f>数出表_Excel!D128</f>
        <v>#N/A</v>
      </c>
      <c r="G128" s="64"/>
      <c r="H128" s="16" t="e">
        <f>数出表_Excel!E128</f>
        <v>#N/A</v>
      </c>
      <c r="I128" s="64"/>
      <c r="J128" s="16" t="e">
        <f>数出表_Excel!F128</f>
        <v>#N/A</v>
      </c>
      <c r="K128" s="64"/>
      <c r="L128" s="16" t="e">
        <f>数出表_Excel!G128</f>
        <v>#N/A</v>
      </c>
      <c r="M128" s="64"/>
      <c r="N128" s="16" t="e">
        <f>数出表_Excel!H128</f>
        <v>#N/A</v>
      </c>
      <c r="O128" s="64"/>
      <c r="P128" s="16" t="e">
        <f>数出表_Excel!I128</f>
        <v>#N/A</v>
      </c>
      <c r="Q128" s="64"/>
      <c r="R128" s="16" t="e">
        <f>数出表_Excel!J128</f>
        <v>#N/A</v>
      </c>
      <c r="S128" s="64"/>
      <c r="T128" s="16" t="e">
        <f>数出表_Excel!K128</f>
        <v>#N/A</v>
      </c>
      <c r="U128" s="64"/>
      <c r="V128" s="16" t="e">
        <f>数出表_Excel!L128</f>
        <v>#N/A</v>
      </c>
      <c r="W128" s="64"/>
      <c r="X128" s="16" t="e">
        <f>数出表_Excel!M128</f>
        <v>#N/A</v>
      </c>
      <c r="Y128" s="64"/>
      <c r="Z128" s="16" t="e">
        <f>数出表_Excel!N128</f>
        <v>#N/A</v>
      </c>
      <c r="AA128" s="64"/>
      <c r="AB128" s="16" t="e">
        <f>数出表_Excel!O128</f>
        <v>#N/A</v>
      </c>
      <c r="AC128" s="64"/>
      <c r="AD128" s="16" t="e">
        <f>数出表_Excel!P128</f>
        <v>#N/A</v>
      </c>
      <c r="AE128" s="64"/>
      <c r="AF128" s="16" t="e">
        <f>数出表_Excel!Q128</f>
        <v>#N/A</v>
      </c>
      <c r="AG128" s="64"/>
      <c r="AH128" s="16" t="e">
        <f>数出表_Excel!R128</f>
        <v>#N/A</v>
      </c>
      <c r="AI128" s="64"/>
      <c r="AJ128" s="16" t="e">
        <f>数出表_Excel!T128</f>
        <v>#N/A</v>
      </c>
      <c r="AK128" s="64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4"/>
      <c r="D130" s="16" t="e">
        <f>数出表_Excel!C130</f>
        <v>#N/A</v>
      </c>
      <c r="E130" s="64"/>
      <c r="F130" s="16" t="e">
        <f>数出表_Excel!D130</f>
        <v>#N/A</v>
      </c>
      <c r="G130" s="64"/>
      <c r="H130" s="16" t="e">
        <f>数出表_Excel!E130</f>
        <v>#N/A</v>
      </c>
      <c r="I130" s="64"/>
      <c r="J130" s="16" t="e">
        <f>数出表_Excel!F130</f>
        <v>#N/A</v>
      </c>
      <c r="K130" s="64"/>
      <c r="L130" s="16" t="e">
        <f>数出表_Excel!G130</f>
        <v>#N/A</v>
      </c>
      <c r="M130" s="64"/>
      <c r="N130" s="16" t="e">
        <f>数出表_Excel!H130</f>
        <v>#N/A</v>
      </c>
      <c r="O130" s="64"/>
      <c r="P130" s="16" t="e">
        <f>数出表_Excel!I130</f>
        <v>#N/A</v>
      </c>
      <c r="Q130" s="64"/>
      <c r="R130" s="16" t="e">
        <f>数出表_Excel!J130</f>
        <v>#N/A</v>
      </c>
      <c r="S130" s="64"/>
      <c r="T130" s="16" t="e">
        <f>数出表_Excel!K130</f>
        <v>#N/A</v>
      </c>
      <c r="U130" s="64"/>
      <c r="V130" s="16" t="e">
        <f>数出表_Excel!L130</f>
        <v>#N/A</v>
      </c>
      <c r="W130" s="64"/>
      <c r="X130" s="16" t="e">
        <f>数出表_Excel!M130</f>
        <v>#N/A</v>
      </c>
      <c r="Y130" s="64"/>
      <c r="Z130" s="16" t="e">
        <f>数出表_Excel!N130</f>
        <v>#N/A</v>
      </c>
      <c r="AA130" s="64"/>
      <c r="AB130" s="16" t="e">
        <f>数出表_Excel!O130</f>
        <v>#N/A</v>
      </c>
      <c r="AC130" s="64"/>
      <c r="AD130" s="16" t="e">
        <f>数出表_Excel!P130</f>
        <v>#N/A</v>
      </c>
      <c r="AE130" s="64"/>
      <c r="AF130" s="16" t="e">
        <f>数出表_Excel!Q130</f>
        <v>#N/A</v>
      </c>
      <c r="AG130" s="64"/>
      <c r="AH130" s="16" t="e">
        <f>数出表_Excel!R130</f>
        <v>#N/A</v>
      </c>
      <c r="AI130" s="64"/>
      <c r="AJ130" s="16" t="e">
        <f>数出表_Excel!T130</f>
        <v>#N/A</v>
      </c>
      <c r="AK130" s="64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4"/>
      <c r="D132" s="16" t="e">
        <f>数出表_Excel!C132</f>
        <v>#N/A</v>
      </c>
      <c r="E132" s="64"/>
      <c r="F132" s="16" t="e">
        <f>数出表_Excel!D132</f>
        <v>#N/A</v>
      </c>
      <c r="G132" s="64"/>
      <c r="H132" s="16" t="e">
        <f>数出表_Excel!E132</f>
        <v>#N/A</v>
      </c>
      <c r="I132" s="64"/>
      <c r="J132" s="16" t="e">
        <f>数出表_Excel!F132</f>
        <v>#N/A</v>
      </c>
      <c r="K132" s="64"/>
      <c r="L132" s="16" t="e">
        <f>数出表_Excel!G132</f>
        <v>#N/A</v>
      </c>
      <c r="M132" s="64"/>
      <c r="N132" s="16" t="e">
        <f>数出表_Excel!H132</f>
        <v>#N/A</v>
      </c>
      <c r="O132" s="64"/>
      <c r="P132" s="16" t="e">
        <f>数出表_Excel!I132</f>
        <v>#N/A</v>
      </c>
      <c r="Q132" s="64"/>
      <c r="R132" s="16" t="e">
        <f>数出表_Excel!J132</f>
        <v>#N/A</v>
      </c>
      <c r="S132" s="64"/>
      <c r="T132" s="16" t="e">
        <f>数出表_Excel!K132</f>
        <v>#N/A</v>
      </c>
      <c r="U132" s="64"/>
      <c r="V132" s="16" t="e">
        <f>数出表_Excel!L132</f>
        <v>#N/A</v>
      </c>
      <c r="W132" s="64"/>
      <c r="X132" s="16" t="e">
        <f>数出表_Excel!M132</f>
        <v>#N/A</v>
      </c>
      <c r="Y132" s="64"/>
      <c r="Z132" s="16" t="e">
        <f>数出表_Excel!N132</f>
        <v>#N/A</v>
      </c>
      <c r="AA132" s="64"/>
      <c r="AB132" s="16" t="e">
        <f>数出表_Excel!O132</f>
        <v>#N/A</v>
      </c>
      <c r="AC132" s="64"/>
      <c r="AD132" s="16" t="e">
        <f>数出表_Excel!P132</f>
        <v>#N/A</v>
      </c>
      <c r="AE132" s="64"/>
      <c r="AF132" s="16" t="e">
        <f>数出表_Excel!Q132</f>
        <v>#N/A</v>
      </c>
      <c r="AG132" s="64"/>
      <c r="AH132" s="16" t="e">
        <f>数出表_Excel!R132</f>
        <v>#N/A</v>
      </c>
      <c r="AI132" s="64"/>
      <c r="AJ132" s="16" t="e">
        <f>数出表_Excel!T132</f>
        <v>#N/A</v>
      </c>
      <c r="AK132" s="64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4"/>
      <c r="D134" s="16" t="e">
        <f>数出表_Excel!C134</f>
        <v>#N/A</v>
      </c>
      <c r="E134" s="64"/>
      <c r="F134" s="16" t="e">
        <f>数出表_Excel!D134</f>
        <v>#N/A</v>
      </c>
      <c r="G134" s="64"/>
      <c r="H134" s="16" t="e">
        <f>数出表_Excel!E134</f>
        <v>#N/A</v>
      </c>
      <c r="I134" s="64"/>
      <c r="J134" s="16" t="e">
        <f>数出表_Excel!F134</f>
        <v>#N/A</v>
      </c>
      <c r="K134" s="64"/>
      <c r="L134" s="16" t="e">
        <f>数出表_Excel!G134</f>
        <v>#N/A</v>
      </c>
      <c r="M134" s="64"/>
      <c r="N134" s="16" t="e">
        <f>数出表_Excel!H134</f>
        <v>#N/A</v>
      </c>
      <c r="O134" s="64"/>
      <c r="P134" s="16" t="e">
        <f>数出表_Excel!I134</f>
        <v>#N/A</v>
      </c>
      <c r="Q134" s="64"/>
      <c r="R134" s="16" t="e">
        <f>数出表_Excel!J134</f>
        <v>#N/A</v>
      </c>
      <c r="S134" s="64"/>
      <c r="T134" s="16" t="e">
        <f>数出表_Excel!K134</f>
        <v>#N/A</v>
      </c>
      <c r="U134" s="64"/>
      <c r="V134" s="16" t="e">
        <f>数出表_Excel!L134</f>
        <v>#N/A</v>
      </c>
      <c r="W134" s="64"/>
      <c r="X134" s="16" t="e">
        <f>数出表_Excel!M134</f>
        <v>#N/A</v>
      </c>
      <c r="Y134" s="64"/>
      <c r="Z134" s="16" t="e">
        <f>数出表_Excel!N134</f>
        <v>#N/A</v>
      </c>
      <c r="AA134" s="64"/>
      <c r="AB134" s="16" t="e">
        <f>数出表_Excel!O134</f>
        <v>#N/A</v>
      </c>
      <c r="AC134" s="64"/>
      <c r="AD134" s="16" t="e">
        <f>数出表_Excel!P134</f>
        <v>#N/A</v>
      </c>
      <c r="AE134" s="64"/>
      <c r="AF134" s="16" t="e">
        <f>数出表_Excel!Q134</f>
        <v>#N/A</v>
      </c>
      <c r="AG134" s="64"/>
      <c r="AH134" s="16" t="e">
        <f>数出表_Excel!R134</f>
        <v>#N/A</v>
      </c>
      <c r="AI134" s="64"/>
      <c r="AJ134" s="16" t="e">
        <f>数出表_Excel!T134</f>
        <v>#N/A</v>
      </c>
      <c r="AK134" s="64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4"/>
      <c r="D136" s="16" t="e">
        <f>数出表_Excel!C136</f>
        <v>#N/A</v>
      </c>
      <c r="E136" s="64"/>
      <c r="F136" s="16" t="e">
        <f>数出表_Excel!D136</f>
        <v>#N/A</v>
      </c>
      <c r="G136" s="64"/>
      <c r="H136" s="16" t="e">
        <f>数出表_Excel!E136</f>
        <v>#N/A</v>
      </c>
      <c r="I136" s="64"/>
      <c r="J136" s="16" t="e">
        <f>数出表_Excel!F136</f>
        <v>#N/A</v>
      </c>
      <c r="K136" s="64"/>
      <c r="L136" s="16" t="e">
        <f>数出表_Excel!G136</f>
        <v>#N/A</v>
      </c>
      <c r="M136" s="64"/>
      <c r="N136" s="16" t="e">
        <f>数出表_Excel!H136</f>
        <v>#N/A</v>
      </c>
      <c r="O136" s="64"/>
      <c r="P136" s="16" t="e">
        <f>数出表_Excel!I136</f>
        <v>#N/A</v>
      </c>
      <c r="Q136" s="64"/>
      <c r="R136" s="16" t="e">
        <f>数出表_Excel!J136</f>
        <v>#N/A</v>
      </c>
      <c r="S136" s="64"/>
      <c r="T136" s="16" t="e">
        <f>数出表_Excel!K136</f>
        <v>#N/A</v>
      </c>
      <c r="U136" s="64"/>
      <c r="V136" s="16" t="e">
        <f>数出表_Excel!L136</f>
        <v>#N/A</v>
      </c>
      <c r="W136" s="64"/>
      <c r="X136" s="16" t="e">
        <f>数出表_Excel!M136</f>
        <v>#N/A</v>
      </c>
      <c r="Y136" s="64"/>
      <c r="Z136" s="16" t="e">
        <f>数出表_Excel!N136</f>
        <v>#N/A</v>
      </c>
      <c r="AA136" s="64"/>
      <c r="AB136" s="16" t="e">
        <f>数出表_Excel!O136</f>
        <v>#N/A</v>
      </c>
      <c r="AC136" s="64"/>
      <c r="AD136" s="16" t="e">
        <f>数出表_Excel!P136</f>
        <v>#N/A</v>
      </c>
      <c r="AE136" s="64"/>
      <c r="AF136" s="16" t="e">
        <f>数出表_Excel!Q136</f>
        <v>#N/A</v>
      </c>
      <c r="AG136" s="64"/>
      <c r="AH136" s="16" t="e">
        <f>数出表_Excel!R136</f>
        <v>#N/A</v>
      </c>
      <c r="AI136" s="64"/>
      <c r="AJ136" s="16" t="e">
        <f>数出表_Excel!T136</f>
        <v>#N/A</v>
      </c>
      <c r="AK136" s="64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4"/>
      <c r="D138" s="16" t="e">
        <f>数出表_Excel!C138</f>
        <v>#N/A</v>
      </c>
      <c r="E138" s="64"/>
      <c r="F138" s="16" t="e">
        <f>数出表_Excel!D138</f>
        <v>#N/A</v>
      </c>
      <c r="G138" s="64"/>
      <c r="H138" s="16" t="e">
        <f>数出表_Excel!E138</f>
        <v>#N/A</v>
      </c>
      <c r="I138" s="64"/>
      <c r="J138" s="16" t="e">
        <f>数出表_Excel!F138</f>
        <v>#N/A</v>
      </c>
      <c r="K138" s="64"/>
      <c r="L138" s="16" t="e">
        <f>数出表_Excel!G138</f>
        <v>#N/A</v>
      </c>
      <c r="M138" s="64"/>
      <c r="N138" s="16" t="e">
        <f>数出表_Excel!H138</f>
        <v>#N/A</v>
      </c>
      <c r="O138" s="64"/>
      <c r="P138" s="16" t="e">
        <f>数出表_Excel!I138</f>
        <v>#N/A</v>
      </c>
      <c r="Q138" s="64"/>
      <c r="R138" s="16" t="e">
        <f>数出表_Excel!J138</f>
        <v>#N/A</v>
      </c>
      <c r="S138" s="64"/>
      <c r="T138" s="16" t="e">
        <f>数出表_Excel!K138</f>
        <v>#N/A</v>
      </c>
      <c r="U138" s="64"/>
      <c r="V138" s="16" t="e">
        <f>数出表_Excel!L138</f>
        <v>#N/A</v>
      </c>
      <c r="W138" s="64"/>
      <c r="X138" s="16" t="e">
        <f>数出表_Excel!M138</f>
        <v>#N/A</v>
      </c>
      <c r="Y138" s="64"/>
      <c r="Z138" s="16" t="e">
        <f>数出表_Excel!N138</f>
        <v>#N/A</v>
      </c>
      <c r="AA138" s="64"/>
      <c r="AB138" s="16" t="e">
        <f>数出表_Excel!O138</f>
        <v>#N/A</v>
      </c>
      <c r="AC138" s="64"/>
      <c r="AD138" s="16" t="e">
        <f>数出表_Excel!P138</f>
        <v>#N/A</v>
      </c>
      <c r="AE138" s="64"/>
      <c r="AF138" s="16" t="e">
        <f>数出表_Excel!Q138</f>
        <v>#N/A</v>
      </c>
      <c r="AG138" s="64"/>
      <c r="AH138" s="16" t="e">
        <f>数出表_Excel!R138</f>
        <v>#N/A</v>
      </c>
      <c r="AI138" s="64"/>
      <c r="AJ138" s="16" t="e">
        <f>数出表_Excel!T138</f>
        <v>#N/A</v>
      </c>
      <c r="AK138" s="64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4"/>
      <c r="D140" s="16" t="e">
        <f>数出表_Excel!C140</f>
        <v>#N/A</v>
      </c>
      <c r="E140" s="64"/>
      <c r="F140" s="16" t="e">
        <f>数出表_Excel!D140</f>
        <v>#N/A</v>
      </c>
      <c r="G140" s="64"/>
      <c r="H140" s="16" t="e">
        <f>数出表_Excel!E140</f>
        <v>#N/A</v>
      </c>
      <c r="I140" s="64"/>
      <c r="J140" s="16" t="e">
        <f>数出表_Excel!F140</f>
        <v>#N/A</v>
      </c>
      <c r="K140" s="64"/>
      <c r="L140" s="16" t="e">
        <f>数出表_Excel!G140</f>
        <v>#N/A</v>
      </c>
      <c r="M140" s="64"/>
      <c r="N140" s="16" t="e">
        <f>数出表_Excel!H140</f>
        <v>#N/A</v>
      </c>
      <c r="O140" s="64"/>
      <c r="P140" s="16" t="e">
        <f>数出表_Excel!I140</f>
        <v>#N/A</v>
      </c>
      <c r="Q140" s="64"/>
      <c r="R140" s="16" t="e">
        <f>数出表_Excel!J140</f>
        <v>#N/A</v>
      </c>
      <c r="S140" s="64"/>
      <c r="T140" s="16" t="e">
        <f>数出表_Excel!K140</f>
        <v>#N/A</v>
      </c>
      <c r="U140" s="64"/>
      <c r="V140" s="16" t="e">
        <f>数出表_Excel!L140</f>
        <v>#N/A</v>
      </c>
      <c r="W140" s="64"/>
      <c r="X140" s="16" t="e">
        <f>数出表_Excel!M140</f>
        <v>#N/A</v>
      </c>
      <c r="Y140" s="64"/>
      <c r="Z140" s="16" t="e">
        <f>数出表_Excel!N140</f>
        <v>#N/A</v>
      </c>
      <c r="AA140" s="64"/>
      <c r="AB140" s="16" t="e">
        <f>数出表_Excel!O140</f>
        <v>#N/A</v>
      </c>
      <c r="AC140" s="64"/>
      <c r="AD140" s="16" t="e">
        <f>数出表_Excel!P140</f>
        <v>#N/A</v>
      </c>
      <c r="AE140" s="64"/>
      <c r="AF140" s="16" t="e">
        <f>数出表_Excel!Q140</f>
        <v>#N/A</v>
      </c>
      <c r="AG140" s="64"/>
      <c r="AH140" s="16" t="e">
        <f>数出表_Excel!R140</f>
        <v>#N/A</v>
      </c>
      <c r="AI140" s="64"/>
      <c r="AJ140" s="16" t="e">
        <f>数出表_Excel!T140</f>
        <v>#N/A</v>
      </c>
      <c r="AK140" s="64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4"/>
      <c r="D142" s="16" t="e">
        <f>数出表_Excel!C142</f>
        <v>#N/A</v>
      </c>
      <c r="E142" s="64"/>
      <c r="F142" s="16" t="e">
        <f>数出表_Excel!D142</f>
        <v>#N/A</v>
      </c>
      <c r="G142" s="64"/>
      <c r="H142" s="16" t="e">
        <f>数出表_Excel!E142</f>
        <v>#N/A</v>
      </c>
      <c r="I142" s="64"/>
      <c r="J142" s="16" t="e">
        <f>数出表_Excel!F142</f>
        <v>#N/A</v>
      </c>
      <c r="K142" s="64"/>
      <c r="L142" s="16" t="e">
        <f>数出表_Excel!G142</f>
        <v>#N/A</v>
      </c>
      <c r="M142" s="64"/>
      <c r="N142" s="16" t="e">
        <f>数出表_Excel!H142</f>
        <v>#N/A</v>
      </c>
      <c r="O142" s="64"/>
      <c r="P142" s="16" t="e">
        <f>数出表_Excel!I142</f>
        <v>#N/A</v>
      </c>
      <c r="Q142" s="64"/>
      <c r="R142" s="16" t="e">
        <f>数出表_Excel!J142</f>
        <v>#N/A</v>
      </c>
      <c r="S142" s="64"/>
      <c r="T142" s="16" t="e">
        <f>数出表_Excel!K142</f>
        <v>#N/A</v>
      </c>
      <c r="U142" s="64"/>
      <c r="V142" s="16" t="e">
        <f>数出表_Excel!L142</f>
        <v>#N/A</v>
      </c>
      <c r="W142" s="64"/>
      <c r="X142" s="16" t="e">
        <f>数出表_Excel!M142</f>
        <v>#N/A</v>
      </c>
      <c r="Y142" s="64"/>
      <c r="Z142" s="16" t="e">
        <f>数出表_Excel!N142</f>
        <v>#N/A</v>
      </c>
      <c r="AA142" s="64"/>
      <c r="AB142" s="16" t="e">
        <f>数出表_Excel!O142</f>
        <v>#N/A</v>
      </c>
      <c r="AC142" s="64"/>
      <c r="AD142" s="16" t="e">
        <f>数出表_Excel!P142</f>
        <v>#N/A</v>
      </c>
      <c r="AE142" s="64"/>
      <c r="AF142" s="16" t="e">
        <f>数出表_Excel!Q142</f>
        <v>#N/A</v>
      </c>
      <c r="AG142" s="64"/>
      <c r="AH142" s="16" t="e">
        <f>数出表_Excel!R142</f>
        <v>#N/A</v>
      </c>
      <c r="AI142" s="64"/>
      <c r="AJ142" s="16" t="e">
        <f>数出表_Excel!T142</f>
        <v>#N/A</v>
      </c>
      <c r="AK142" s="64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4"/>
      <c r="D144" s="16" t="e">
        <f>数出表_Excel!C144</f>
        <v>#N/A</v>
      </c>
      <c r="E144" s="64"/>
      <c r="F144" s="16" t="e">
        <f>数出表_Excel!D144</f>
        <v>#N/A</v>
      </c>
      <c r="G144" s="64"/>
      <c r="H144" s="16" t="e">
        <f>数出表_Excel!E144</f>
        <v>#N/A</v>
      </c>
      <c r="I144" s="64"/>
      <c r="J144" s="16" t="e">
        <f>数出表_Excel!F144</f>
        <v>#N/A</v>
      </c>
      <c r="K144" s="64"/>
      <c r="L144" s="16" t="e">
        <f>数出表_Excel!G144</f>
        <v>#N/A</v>
      </c>
      <c r="M144" s="64"/>
      <c r="N144" s="16" t="e">
        <f>数出表_Excel!H144</f>
        <v>#N/A</v>
      </c>
      <c r="O144" s="64"/>
      <c r="P144" s="16" t="e">
        <f>数出表_Excel!I144</f>
        <v>#N/A</v>
      </c>
      <c r="Q144" s="64"/>
      <c r="R144" s="16" t="e">
        <f>数出表_Excel!J144</f>
        <v>#N/A</v>
      </c>
      <c r="S144" s="64"/>
      <c r="T144" s="16" t="e">
        <f>数出表_Excel!K144</f>
        <v>#N/A</v>
      </c>
      <c r="U144" s="64"/>
      <c r="V144" s="16" t="e">
        <f>数出表_Excel!L144</f>
        <v>#N/A</v>
      </c>
      <c r="W144" s="64"/>
      <c r="X144" s="16" t="e">
        <f>数出表_Excel!M144</f>
        <v>#N/A</v>
      </c>
      <c r="Y144" s="64"/>
      <c r="Z144" s="16" t="e">
        <f>数出表_Excel!N144</f>
        <v>#N/A</v>
      </c>
      <c r="AA144" s="64"/>
      <c r="AB144" s="16" t="e">
        <f>数出表_Excel!O144</f>
        <v>#N/A</v>
      </c>
      <c r="AC144" s="64"/>
      <c r="AD144" s="16" t="e">
        <f>数出表_Excel!P144</f>
        <v>#N/A</v>
      </c>
      <c r="AE144" s="64"/>
      <c r="AF144" s="16" t="e">
        <f>数出表_Excel!Q144</f>
        <v>#N/A</v>
      </c>
      <c r="AG144" s="64"/>
      <c r="AH144" s="16" t="e">
        <f>数出表_Excel!R144</f>
        <v>#N/A</v>
      </c>
      <c r="AI144" s="64"/>
      <c r="AJ144" s="16" t="e">
        <f>数出表_Excel!T144</f>
        <v>#N/A</v>
      </c>
      <c r="AK144" s="64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0"/>
  <sheetViews>
    <sheetView zoomScale="40" zoomScaleNormal="40" zoomScalePageLayoutView="55" workbookViewId="0">
      <selection activeCell="C1" sqref="C1:F1"/>
    </sheetView>
  </sheetViews>
  <sheetFormatPr defaultRowHeight="18" x14ac:dyDescent="0.45"/>
  <cols>
    <col min="1" max="1" width="3.59765625" style="73" customWidth="1"/>
    <col min="2" max="6" width="7.19921875" style="73" customWidth="1"/>
    <col min="7" max="7" width="7.19921875" style="104" customWidth="1"/>
    <col min="8" max="8" width="3.8984375" style="73" hidden="1" customWidth="1"/>
    <col min="9" max="13" width="7.19921875" style="73" customWidth="1"/>
    <col min="14" max="14" width="7.19921875" style="104" customWidth="1"/>
    <col min="15" max="16" width="3.59765625" style="73" customWidth="1"/>
    <col min="17" max="21" width="7.19921875" style="73" customWidth="1"/>
    <col min="22" max="22" width="7.19921875" style="104" customWidth="1"/>
    <col min="23" max="23" width="3.8984375" style="73" hidden="1" customWidth="1"/>
    <col min="24" max="28" width="7.19921875" style="73" customWidth="1"/>
    <col min="29" max="29" width="7.19921875" style="104" customWidth="1"/>
    <col min="30" max="31" width="3.59765625" style="73" customWidth="1"/>
    <col min="32" max="36" width="7.19921875" style="73" customWidth="1"/>
    <col min="37" max="37" width="7.19921875" style="104" customWidth="1"/>
    <col min="38" max="38" width="3.8984375" style="73" hidden="1" customWidth="1"/>
    <col min="39" max="43" width="7.19921875" style="73" customWidth="1"/>
    <col min="44" max="44" width="7.19921875" style="104" customWidth="1"/>
    <col min="45" max="46" width="3.59765625" style="73" customWidth="1"/>
    <col min="47" max="51" width="7.19921875" style="73" customWidth="1"/>
    <col min="52" max="52" width="7.19921875" style="104" customWidth="1"/>
    <col min="53" max="53" width="3.8984375" style="73" hidden="1" customWidth="1"/>
    <col min="54" max="58" width="7.19921875" style="73" customWidth="1"/>
    <col min="59" max="59" width="7.19921875" style="104" customWidth="1"/>
    <col min="60" max="61" width="3.59765625" style="73" customWidth="1"/>
    <col min="62" max="66" width="7.19921875" style="73" customWidth="1"/>
    <col min="67" max="67" width="7.19921875" style="104" customWidth="1"/>
    <col min="68" max="68" width="3.8984375" style="73" hidden="1" customWidth="1"/>
    <col min="69" max="73" width="7.19921875" style="73" customWidth="1"/>
    <col min="74" max="74" width="7.19921875" style="104" customWidth="1"/>
    <col min="75" max="75" width="3.59765625" style="73" customWidth="1"/>
    <col min="77" max="77" width="17.09765625" bestFit="1" customWidth="1"/>
    <col min="78" max="80" width="11.69921875" customWidth="1"/>
    <col min="90" max="90" width="39.3984375" bestFit="1" customWidth="1"/>
  </cols>
  <sheetData>
    <row r="1" spans="1:99" s="77" customFormat="1" ht="18" customHeight="1" x14ac:dyDescent="0.55000000000000004">
      <c r="A1" s="75">
        <v>7</v>
      </c>
      <c r="B1" s="76" cm="1">
        <f t="array" ref="B1">GetResult(A1)</f>
        <v>7</v>
      </c>
      <c r="C1" s="88" t="str">
        <f ca="1">IF(C2&lt;&gt;"",
IF(LEFT(G1,2)="博多",
LEFT(G1,FIND("週",G1)-1),
G1),"")</f>
        <v/>
      </c>
      <c r="D1" s="89"/>
      <c r="E1" s="89"/>
      <c r="F1" s="89"/>
      <c r="G1" s="105" t="e" cm="1">
        <f t="array" aca="1" ref="G1" ca="1">INDIRECT("数出表_Excel!A"&amp;B1)</f>
        <v>#N/A</v>
      </c>
      <c r="H1" s="75" t="e">
        <f t="array" aca="1" ref="H1" ca="1">IF(LEFT(G1,2)="博多",
IF(LEFT(INDIRECT("数出表_Excel!A"&amp;B1+2),2)="博多",
IF(LEFT(INDIRECT("数出表_Excel!A"&amp;B1+4),2)="博多",
B1+6,
B1+4),
B1+2),
IF(LEFT(G1,3)="奈良屋",
IF(LEFT(INDIRECT("数出表_Excel!A"&amp;B1+2),3)="奈良屋",
IF(LEFT(INDIRECT("数出表_Excel!A"&amp;B1+4),3)="奈良屋",
B1+6,
B1+4),
B1+2),
B1+2))</f>
        <v>#N/A</v>
      </c>
      <c r="I1" s="76" t="e">
        <f t="array" aca="1" ref="I1" ca="1">GetResult(H1)</f>
        <v>#VALUE!</v>
      </c>
      <c r="J1" s="88" t="str">
        <f ca="1">IF(J2&lt;&gt;"",
IF(LEFT(N1,2)="博多",
LEFT(N1,FIND("週",N1)-1),
N1),"")</f>
        <v/>
      </c>
      <c r="K1" s="89"/>
      <c r="L1" s="89"/>
      <c r="M1" s="89"/>
      <c r="N1" s="105" t="e" cm="1">
        <f t="array" aca="1" ref="N1" ca="1">INDIRECT("数出表_Excel!A"&amp;I1)</f>
        <v>#VALUE!</v>
      </c>
      <c r="O1" s="53"/>
      <c r="P1" s="75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76" t="e" cm="1">
        <f t="array" aca="1" ref="Q1" ca="1">GetResult(P1)</f>
        <v>#VALUE!</v>
      </c>
      <c r="R1" s="88" t="str">
        <f ca="1">IF(R2&lt;&gt;"",
IF(LEFT(V1,2)="博多",
LEFT(V1,FIND("週",V1)-1),
V1),"")</f>
        <v/>
      </c>
      <c r="S1" s="89"/>
      <c r="T1" s="89"/>
      <c r="U1" s="89"/>
      <c r="V1" s="105" t="e" cm="1">
        <f t="array" aca="1" ref="V1" ca="1">INDIRECT("数出表_Excel!A"&amp;Q1)</f>
        <v>#VALUE!</v>
      </c>
      <c r="W1" s="75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76" t="e">
        <f t="array" aca="1" ref="X1" ca="1">GetResult(W1)</f>
        <v>#VALUE!</v>
      </c>
      <c r="Y1" s="88" t="str">
        <f ca="1">IF(Y2&lt;&gt;"",
IF(LEFT(AC1,2)="博多",
LEFT(AC1,FIND("週",AC1)-1),
AC1),"")</f>
        <v/>
      </c>
      <c r="Z1" s="89"/>
      <c r="AA1" s="89"/>
      <c r="AB1" s="89"/>
      <c r="AC1" s="105" t="e" cm="1">
        <f t="array" aca="1" ref="AC1" ca="1">INDIRECT("数出表_Excel!A"&amp;X1)</f>
        <v>#VALUE!</v>
      </c>
      <c r="AD1" s="53"/>
      <c r="AE1" s="75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76" t="e" cm="1">
        <f t="array" aca="1" ref="AF1" ca="1">GetResult(AE1)</f>
        <v>#VALUE!</v>
      </c>
      <c r="AG1" s="88" t="str">
        <f ca="1">IF(AG2&lt;&gt;"",
IF(LEFT(AK1,2)="博多",
LEFT(AK1,FIND("週",AK1)-1),
AK1),"")</f>
        <v/>
      </c>
      <c r="AH1" s="89"/>
      <c r="AI1" s="89"/>
      <c r="AJ1" s="89"/>
      <c r="AK1" s="105" t="e" cm="1">
        <f t="array" aca="1" ref="AK1" ca="1">INDIRECT("数出表_Excel!A"&amp;AF1)</f>
        <v>#VALUE!</v>
      </c>
      <c r="AL1" s="75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76" t="e">
        <f t="array" aca="1" ref="AM1" ca="1">GetResult(AL1)</f>
        <v>#VALUE!</v>
      </c>
      <c r="AN1" s="88" t="str">
        <f ca="1">IF(AN2&lt;&gt;"",
IF(LEFT(AR1,2)="博多",
LEFT(AR1,FIND("週",AR1)-1),
AR1),"")</f>
        <v/>
      </c>
      <c r="AO1" s="89"/>
      <c r="AP1" s="89"/>
      <c r="AQ1" s="89"/>
      <c r="AR1" s="105" t="e" cm="1">
        <f t="array" aca="1" ref="AR1" ca="1">INDIRECT("数出表_Excel!A"&amp;AM1)</f>
        <v>#VALUE!</v>
      </c>
      <c r="AS1" s="53"/>
      <c r="AT1" s="75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76" t="e" cm="1">
        <f t="array" aca="1" ref="AU1" ca="1">GetResult(AT1)</f>
        <v>#VALUE!</v>
      </c>
      <c r="AV1" s="88" t="str">
        <f ca="1">IF(AV2&lt;&gt;"",
IF(LEFT(AZ1,2)="博多",
LEFT(AZ1,FIND("週",AZ1)-1),
AZ1),"")</f>
        <v/>
      </c>
      <c r="AW1" s="89"/>
      <c r="AX1" s="89"/>
      <c r="AY1" s="89"/>
      <c r="AZ1" s="105" t="e" cm="1">
        <f t="array" aca="1" ref="AZ1" ca="1">INDIRECT("数出表_Excel!A"&amp;AU1)</f>
        <v>#VALUE!</v>
      </c>
      <c r="BA1" s="75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76" t="e">
        <f t="array" aca="1" ref="BB1" ca="1">GetResult(BA1)</f>
        <v>#VALUE!</v>
      </c>
      <c r="BC1" s="88" t="str">
        <f ca="1">IF(BC2&lt;&gt;"",
IF(LEFT(BG1,2)="博多",
LEFT(BG1,FIND("週",BG1)-1),
BG1),"")</f>
        <v/>
      </c>
      <c r="BD1" s="89"/>
      <c r="BE1" s="89"/>
      <c r="BF1" s="89"/>
      <c r="BG1" s="105" t="e" cm="1">
        <f t="array" aca="1" ref="BG1" ca="1">INDIRECT("数出表_Excel!A"&amp;BB1)</f>
        <v>#VALUE!</v>
      </c>
      <c r="BH1" s="53"/>
      <c r="BI1" s="75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76" t="e" cm="1">
        <f t="array" aca="1" ref="BJ1" ca="1">GetResult(BI1)</f>
        <v>#VALUE!</v>
      </c>
      <c r="BK1" s="88" t="str">
        <f ca="1">IF(BK2&lt;&gt;"",
IF(LEFT(BO1,2)="博多",
LEFT(BO1,FIND("週",BO1)-1),
BO1),"")</f>
        <v/>
      </c>
      <c r="BL1" s="89"/>
      <c r="BM1" s="89"/>
      <c r="BN1" s="89"/>
      <c r="BO1" s="105" t="e" cm="1">
        <f t="array" aca="1" ref="BO1" ca="1">INDIRECT("数出表_Excel!A"&amp;BJ1)</f>
        <v>#VALUE!</v>
      </c>
      <c r="BP1" s="75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76" t="e">
        <f t="array" aca="1" ref="BQ1" ca="1">GetResult(BP1)</f>
        <v>#VALUE!</v>
      </c>
      <c r="BR1" s="88" t="str">
        <f ca="1">IF(BR2&lt;&gt;"",
IF(LEFT(BV1,2)="博多",
LEFT(BV1,FIND("週",BV1)-1),
BV1),"")</f>
        <v/>
      </c>
      <c r="BS1" s="89"/>
      <c r="BT1" s="89"/>
      <c r="BU1" s="89"/>
      <c r="BV1" s="105" t="e" cm="1">
        <f t="array" aca="1" ref="BV1" ca="1">INDIRECT("数出表_Excel!A"&amp;BQ1)</f>
        <v>#VALUE!</v>
      </c>
      <c r="BW1" s="53"/>
      <c r="BY1" s="115" t="str">
        <f ca="1">C1</f>
        <v/>
      </c>
      <c r="BZ1" s="115" t="str">
        <f ca="1">C2</f>
        <v/>
      </c>
      <c r="CA1" s="115" t="str">
        <f ca="1">E2</f>
        <v/>
      </c>
      <c r="CB1" s="116" t="str">
        <f ca="1">F2</f>
        <v/>
      </c>
      <c r="CC1" s="115" t="str">
        <f ca="1">C4</f>
        <v/>
      </c>
      <c r="CD1" s="115" t="str">
        <f ca="1">E4</f>
        <v/>
      </c>
      <c r="CE1" s="115" t="str">
        <f ca="1">C6</f>
        <v/>
      </c>
      <c r="CF1" s="115" t="str">
        <f ca="1">B7</f>
        <v/>
      </c>
      <c r="CG1" s="115" t="str">
        <f ca="1">D7</f>
        <v/>
      </c>
      <c r="CH1" s="115" t="str">
        <f ca="1">F7</f>
        <v/>
      </c>
      <c r="CI1" s="77">
        <f ca="1">IF(COUNTIF(CJ1,"TRUE"),ROW(),0)</f>
        <v>0</v>
      </c>
      <c r="CJ1" s="77" t="b" cm="1">
        <f t="array" aca="1" ref="CJ1" ca="1">SUMPRODUCT((LEN(BY1:CH1)&gt;0)*1)&gt;0</f>
        <v>0</v>
      </c>
      <c r="CK1" s="77" t="str">
        <f t="array" aca="1" ref="CK1" ca="1">IFERROR(SMALL(IF(CI$1:CI$100&lt;&gt;0,CI$1:CI$100),ROW(A1)),"")</f>
        <v/>
      </c>
      <c r="CL1" s="77" t="str" cm="1">
        <f t="array" aca="1" ref="CL1" ca="1">IF($CK1&lt;&gt;"",
INDIRECT(""&amp;IF(COLUMN(BY1)&lt;=26,CHAR(COLUMN(BY1)+64),CHAR(INT((COLUMN(BY1)-1)/26)+64)&amp;CHAR(MOD(COLUMN(BY1)-1,26)+65))&amp;$CK1&amp;""),"")</f>
        <v/>
      </c>
      <c r="CM1" s="77" t="str" cm="1">
        <f t="array" aca="1" ref="CM1" ca="1">IF($CK1&lt;&gt;"",
INDIRECT(""&amp;IF(COLUMN(BZ1)&lt;=26,CHAR(COLUMN(BZ1)+64),CHAR(INT((COLUMN(BZ1)-1)/26)+64)&amp;CHAR(MOD(COLUMN(BZ1)-1,26)+65))&amp;$CK1&amp;""),"")</f>
        <v/>
      </c>
      <c r="CN1" s="77" t="str" cm="1">
        <f t="array" aca="1" ref="CN1" ca="1">IF($CK1&lt;&gt;"",
INDIRECT(""&amp;IF(COLUMN(CA1)&lt;=26,CHAR(COLUMN(CA1)+64),CHAR(INT((COLUMN(CA1)-1)/26)+64)&amp;CHAR(MOD(COLUMN(CA1)-1,26)+65))&amp;$CK1&amp;""),"")</f>
        <v/>
      </c>
      <c r="CO1" s="77" t="str" cm="1">
        <f t="array" aca="1" ref="CO1" ca="1">IF($CK1&lt;&gt;"",
INDIRECT(""&amp;IF(COLUMN(CB1)&lt;=26,CHAR(COLUMN(CB1)+64),CHAR(INT((COLUMN(CB1)-1)/26)+64)&amp;CHAR(MOD(COLUMN(CB1)-1,26)+65))&amp;$CK1&amp;""),"")</f>
        <v/>
      </c>
      <c r="CP1" s="77" t="str" cm="1">
        <f t="array" aca="1" ref="CP1" ca="1">IF($CK1&lt;&gt;"",
INDIRECT(""&amp;IF(COLUMN(CC1)&lt;=26,CHAR(COLUMN(CC1)+64),CHAR(INT((COLUMN(CC1)-1)/26)+64)&amp;CHAR(MOD(COLUMN(CC1)-1,26)+65))&amp;$CK1&amp;""),"")</f>
        <v/>
      </c>
      <c r="CQ1" s="77" t="str" cm="1">
        <f t="array" aca="1" ref="CQ1" ca="1">IF($CK1&lt;&gt;"",
INDIRECT(""&amp;IF(COLUMN(CD1)&lt;=26,CHAR(COLUMN(CD1)+64),CHAR(INT((COLUMN(CD1)-1)/26)+64)&amp;CHAR(MOD(COLUMN(CD1)-1,26)+65))&amp;$CK1&amp;""),"")</f>
        <v/>
      </c>
      <c r="CR1" s="77" t="str" cm="1">
        <f t="array" aca="1" ref="CR1" ca="1">IF($CK1&lt;&gt;"",
INDIRECT(""&amp;IF(COLUMN(CE1)&lt;=26,CHAR(COLUMN(CE1)+64),CHAR(INT((COLUMN(CE1)-1)/26)+64)&amp;CHAR(MOD(COLUMN(CE1)-1,26)+65))&amp;$CK1&amp;""),"")</f>
        <v/>
      </c>
      <c r="CS1" s="77" t="str" cm="1">
        <f t="array" aca="1" ref="CS1" ca="1">IF($CK1&lt;&gt;"",
INDIRECT(""&amp;IF(COLUMN(CF1)&lt;=26,CHAR(COLUMN(CF1)+64),CHAR(INT((COLUMN(CF1)-1)/26)+64)&amp;CHAR(MOD(COLUMN(CF1)-1,26)+65))&amp;$CK1&amp;""),"")</f>
        <v/>
      </c>
      <c r="CT1" s="77" t="str" cm="1">
        <f t="array" aca="1" ref="CT1" ca="1">IF($CK1&lt;&gt;"",
INDIRECT(""&amp;IF(COLUMN(CG1)&lt;=26,CHAR(COLUMN(CG1)+64),CHAR(INT((COLUMN(CG1)-1)/26)+64)&amp;CHAR(MOD(COLUMN(CG1)-1,26)+65))&amp;$CK1&amp;""),"")</f>
        <v/>
      </c>
      <c r="CU1" s="77" t="str" cm="1">
        <f t="array" aca="1" ref="CU1" ca="1">IF($CK1&lt;&gt;"",
INDIRECT(""&amp;IF(COLUMN(CH1)&lt;=26,CHAR(COLUMN(CH1)+64),CHAR(INT((COLUMN(CH1)-1)/26)+64)&amp;CHAR(MOD(COLUMN(CH1)-1,26)+65))&amp;$CK1&amp;""),"")</f>
        <v/>
      </c>
    </row>
    <row r="2" spans="1:99" s="77" customFormat="1" ht="18" customHeight="1" x14ac:dyDescent="0.55000000000000004">
      <c r="A2" s="53"/>
      <c r="B2" s="7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9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53"/>
      <c r="E2" s="108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80" t="str" cm="1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07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75"/>
      <c r="I2" s="7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9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53"/>
      <c r="L2" s="108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8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00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53"/>
      <c r="P2" s="75"/>
      <c r="Q2" s="7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9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53"/>
      <c r="T2" s="108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80" t="str" cm="1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07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75"/>
      <c r="X2" s="7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9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53"/>
      <c r="AA2" s="108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8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00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53"/>
      <c r="AE2" s="75"/>
      <c r="AF2" s="7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9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53"/>
      <c r="AI2" s="108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80" t="str" cm="1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07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75"/>
      <c r="AM2" s="7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9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53"/>
      <c r="AP2" s="108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8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00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53"/>
      <c r="AT2" s="75"/>
      <c r="AU2" s="7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9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53"/>
      <c r="AX2" s="108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80" t="str" cm="1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07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75"/>
      <c r="BB2" s="7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9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53"/>
      <c r="BE2" s="108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8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00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53"/>
      <c r="BI2" s="75"/>
      <c r="BJ2" s="7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9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53"/>
      <c r="BM2" s="108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80" t="str" cm="1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07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75"/>
      <c r="BQ2" s="7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9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53"/>
      <c r="BT2" s="108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8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00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53"/>
      <c r="BX2" s="77">
        <v>42</v>
      </c>
      <c r="BY2" s="77" t="str" cm="1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77" t="str" cm="1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77" t="str" cm="1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77" t="str" cm="1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77" t="str" cm="1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77" t="str" cm="1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77" t="str" cm="1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77" t="str" cm="1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77" t="str" cm="1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77" t="str" cm="1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77">
        <f t="shared" ref="CI2:CI65" ca="1" si="0">IF(COUNTIF(CJ2,"TRUE"),ROW(),0)</f>
        <v>0</v>
      </c>
      <c r="CJ2" s="77" t="b" cm="1">
        <f t="array" aca="1" ref="CJ2" ca="1">SUMPRODUCT((LEN(BY2:CH2)&gt;0)*1)&gt;0</f>
        <v>0</v>
      </c>
      <c r="CK2" s="77" t="str">
        <f t="array" aca="1" ref="CK2" ca="1">IFERROR(SMALL(IF(CI$1:CI$100&lt;&gt;0,CI$1:CI$100),ROW(A2)),"")</f>
        <v/>
      </c>
      <c r="CL2" s="77" t="str" cm="1">
        <f t="array" aca="1" ref="CL2" ca="1">IF($CK2&lt;&gt;"",
INDIRECT(""&amp;IF(COLUMN(BY2)&lt;=26,CHAR(COLUMN(BY2)+64),CHAR(INT((COLUMN(BY2)-1)/26)+64)&amp;CHAR(MOD(COLUMN(BY2)-1,26)+65))&amp;$CK2&amp;""),"")</f>
        <v/>
      </c>
      <c r="CM2" s="77" t="str" cm="1">
        <f t="array" aca="1" ref="CM2" ca="1">IF($CK2&lt;&gt;"",
INDIRECT(""&amp;IF(COLUMN(BZ2)&lt;=26,CHAR(COLUMN(BZ2)+64),CHAR(INT((COLUMN(BZ2)-1)/26)+64)&amp;CHAR(MOD(COLUMN(BZ2)-1,26)+65))&amp;$CK2&amp;""),"")</f>
        <v/>
      </c>
      <c r="CN2" s="77" t="str" cm="1">
        <f t="array" aca="1" ref="CN2" ca="1">IF($CK2&lt;&gt;"",
INDIRECT(""&amp;IF(COLUMN(CA2)&lt;=26,CHAR(COLUMN(CA2)+64),CHAR(INT((COLUMN(CA2)-1)/26)+64)&amp;CHAR(MOD(COLUMN(CA2)-1,26)+65))&amp;$CK2&amp;""),"")</f>
        <v/>
      </c>
      <c r="CO2" s="77" t="str" cm="1">
        <f t="array" aca="1" ref="CO2" ca="1">IF($CK2&lt;&gt;"",
INDIRECT(""&amp;IF(COLUMN(CB2)&lt;=26,CHAR(COLUMN(CB2)+64),CHAR(INT((COLUMN(CB2)-1)/26)+64)&amp;CHAR(MOD(COLUMN(CB2)-1,26)+65))&amp;$CK2&amp;""),"")</f>
        <v/>
      </c>
      <c r="CP2" s="77" t="str" cm="1">
        <f t="array" aca="1" ref="CP2" ca="1">IF($CK2&lt;&gt;"",
INDIRECT(""&amp;IF(COLUMN(CC2)&lt;=26,CHAR(COLUMN(CC2)+64),CHAR(INT((COLUMN(CC2)-1)/26)+64)&amp;CHAR(MOD(COLUMN(CC2)-1,26)+65))&amp;$CK2&amp;""),"")</f>
        <v/>
      </c>
      <c r="CQ2" s="77" t="str" cm="1">
        <f t="array" aca="1" ref="CQ2" ca="1">IF($CK2&lt;&gt;"",
INDIRECT(""&amp;IF(COLUMN(CD2)&lt;=26,CHAR(COLUMN(CD2)+64),CHAR(INT((COLUMN(CD2)-1)/26)+64)&amp;CHAR(MOD(COLUMN(CD2)-1,26)+65))&amp;$CK2&amp;""),"")</f>
        <v/>
      </c>
      <c r="CR2" s="77" t="str" cm="1">
        <f t="array" aca="1" ref="CR2" ca="1">IF($CK2&lt;&gt;"",
INDIRECT(""&amp;IF(COLUMN(CE2)&lt;=26,CHAR(COLUMN(CE2)+64),CHAR(INT((COLUMN(CE2)-1)/26)+64)&amp;CHAR(MOD(COLUMN(CE2)-1,26)+65))&amp;$CK2&amp;""),"")</f>
        <v/>
      </c>
      <c r="CS2" s="77" t="str" cm="1">
        <f t="array" aca="1" ref="CS2" ca="1">IF($CK2&lt;&gt;"",
INDIRECT(""&amp;IF(COLUMN(CF2)&lt;=26,CHAR(COLUMN(CF2)+64),CHAR(INT((COLUMN(CF2)-1)/26)+64)&amp;CHAR(MOD(COLUMN(CF2)-1,26)+65))&amp;$CK2&amp;""),"")</f>
        <v/>
      </c>
      <c r="CT2" s="77" t="str" cm="1">
        <f t="array" aca="1" ref="CT2" ca="1">IF($CK2&lt;&gt;"",
INDIRECT(""&amp;IF(COLUMN(CG2)&lt;=26,CHAR(COLUMN(CG2)+64),CHAR(INT((COLUMN(CG2)-1)/26)+64)&amp;CHAR(MOD(COLUMN(CG2)-1,26)+65))&amp;$CK2&amp;""),"")</f>
        <v/>
      </c>
      <c r="CU2" s="77" t="str" cm="1">
        <f t="array" aca="1" ref="CU2" ca="1">IF($CK2&lt;&gt;"",
INDIRECT(""&amp;IF(COLUMN(CH2)&lt;=26,CHAR(COLUMN(CH2)+64),CHAR(INT((COLUMN(CH2)-1)/26)+64)&amp;CHAR(MOD(COLUMN(CH2)-1,26)+65))&amp;$CK2&amp;""),"")</f>
        <v/>
      </c>
    </row>
    <row r="3" spans="1:99" s="77" customFormat="1" ht="22.2" x14ac:dyDescent="0.55000000000000004">
      <c r="A3" s="53"/>
      <c r="B3" s="8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86" t="str">
        <f ca="1">IF(C2&lt;&gt;"",
"園児","")</f>
        <v/>
      </c>
      <c r="D3" s="87"/>
      <c r="E3" s="96" t="str">
        <f ca="1">IF(C2&lt;&gt;"",
"先生","")</f>
        <v/>
      </c>
      <c r="F3" s="87"/>
      <c r="G3" s="101"/>
      <c r="H3" s="83"/>
      <c r="I3" s="8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86" t="str">
        <f ca="1">IF(J2&lt;&gt;"",
"園児","")</f>
        <v/>
      </c>
      <c r="K3" s="87"/>
      <c r="L3" s="96" t="str">
        <f ca="1">IF(J2&lt;&gt;"",
"先生","")</f>
        <v/>
      </c>
      <c r="M3" s="87"/>
      <c r="N3" s="101"/>
      <c r="O3" s="53"/>
      <c r="P3" s="83"/>
      <c r="Q3" s="8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86" t="str">
        <f ca="1">IF(R2&lt;&gt;"",
"園児","")</f>
        <v/>
      </c>
      <c r="S3" s="87"/>
      <c r="T3" s="96" t="str">
        <f ca="1">IF(R2&lt;&gt;"",
"先生","")</f>
        <v/>
      </c>
      <c r="U3" s="87"/>
      <c r="V3" s="101"/>
      <c r="W3" s="83"/>
      <c r="X3" s="8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86" t="str">
        <f ca="1">IF(Y2&lt;&gt;"",
"園児","")</f>
        <v/>
      </c>
      <c r="Z3" s="87"/>
      <c r="AA3" s="96" t="str">
        <f ca="1">IF(Y2&lt;&gt;"",
"先生","")</f>
        <v/>
      </c>
      <c r="AB3" s="87"/>
      <c r="AC3" s="101"/>
      <c r="AD3" s="53"/>
      <c r="AE3" s="83"/>
      <c r="AF3" s="8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86" t="str">
        <f ca="1">IF(AG2&lt;&gt;"",
"園児","")</f>
        <v/>
      </c>
      <c r="AH3" s="87"/>
      <c r="AI3" s="96" t="str">
        <f ca="1">IF(AG2&lt;&gt;"",
"先生","")</f>
        <v/>
      </c>
      <c r="AJ3" s="87"/>
      <c r="AK3" s="101"/>
      <c r="AL3" s="83"/>
      <c r="AM3" s="8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86" t="str">
        <f ca="1">IF(AN2&lt;&gt;"",
"園児","")</f>
        <v/>
      </c>
      <c r="AO3" s="87"/>
      <c r="AP3" s="96" t="str">
        <f ca="1">IF(AN2&lt;&gt;"",
"先生","")</f>
        <v/>
      </c>
      <c r="AQ3" s="87"/>
      <c r="AR3" s="101"/>
      <c r="AS3" s="53"/>
      <c r="AT3" s="83"/>
      <c r="AU3" s="8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86" t="str">
        <f ca="1">IF(AV2&lt;&gt;"",
"園児","")</f>
        <v/>
      </c>
      <c r="AW3" s="87"/>
      <c r="AX3" s="96" t="str">
        <f ca="1">IF(AV2&lt;&gt;"",
"先生","")</f>
        <v/>
      </c>
      <c r="AY3" s="87"/>
      <c r="AZ3" s="101"/>
      <c r="BA3" s="83"/>
      <c r="BB3" s="8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86" t="str">
        <f ca="1">IF(BC2&lt;&gt;"",
"園児","")</f>
        <v/>
      </c>
      <c r="BD3" s="87"/>
      <c r="BE3" s="96" t="str">
        <f ca="1">IF(BC2&lt;&gt;"",
"先生","")</f>
        <v/>
      </c>
      <c r="BF3" s="87"/>
      <c r="BG3" s="101"/>
      <c r="BH3" s="53"/>
      <c r="BI3" s="83"/>
      <c r="BJ3" s="8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86" t="str">
        <f ca="1">IF(BK2&lt;&gt;"",
"園児","")</f>
        <v/>
      </c>
      <c r="BL3" s="87"/>
      <c r="BM3" s="96" t="str">
        <f ca="1">IF(BK2&lt;&gt;"",
"先生","")</f>
        <v/>
      </c>
      <c r="BN3" s="87"/>
      <c r="BO3" s="101"/>
      <c r="BP3" s="83"/>
      <c r="BQ3" s="8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86" t="str">
        <f ca="1">IF(BR2&lt;&gt;"",
"園児","")</f>
        <v/>
      </c>
      <c r="BS3" s="87"/>
      <c r="BT3" s="96" t="str">
        <f ca="1">IF(BR2&lt;&gt;"",
"先生","")</f>
        <v/>
      </c>
      <c r="BU3" s="87"/>
      <c r="BV3" s="101"/>
      <c r="BW3" s="53"/>
      <c r="BY3" s="115" t="str">
        <f ca="1">J1</f>
        <v/>
      </c>
      <c r="BZ3" s="115" t="str">
        <f ca="1">J2</f>
        <v/>
      </c>
      <c r="CA3" s="115" t="str">
        <f ca="1">L2</f>
        <v/>
      </c>
      <c r="CB3" s="116" t="str">
        <f ca="1">M2</f>
        <v/>
      </c>
      <c r="CC3" s="115" t="str">
        <f ca="1">J4</f>
        <v/>
      </c>
      <c r="CD3" s="115" t="str">
        <f ca="1">L4</f>
        <v/>
      </c>
      <c r="CE3" s="115" t="str">
        <f ca="1">J6</f>
        <v/>
      </c>
      <c r="CF3" s="115" t="str">
        <f ca="1">I7</f>
        <v/>
      </c>
      <c r="CG3" s="115" t="str">
        <f ca="1">K7</f>
        <v/>
      </c>
      <c r="CH3" s="115" t="str">
        <f ca="1">M7</f>
        <v/>
      </c>
      <c r="CI3" s="77">
        <f t="shared" ca="1" si="0"/>
        <v>0</v>
      </c>
      <c r="CJ3" s="77" t="b" cm="1">
        <f t="array" aca="1" ref="CJ3" ca="1">SUMPRODUCT((LEN(BY3:CH3)&gt;0)*1)&gt;0</f>
        <v>0</v>
      </c>
      <c r="CK3" s="77" t="str">
        <f t="array" aca="1" ref="CK3" ca="1">IFERROR(SMALL(IF(CI$1:CI$100&lt;&gt;0,CI$1:CI$100),ROW(A3)),"")</f>
        <v/>
      </c>
      <c r="CL3" s="77" t="str" cm="1">
        <f t="array" aca="1" ref="CL3" ca="1">IF($CK3&lt;&gt;"",
INDIRECT(""&amp;IF(COLUMN(BY3)&lt;=26,CHAR(COLUMN(BY3)+64),CHAR(INT((COLUMN(BY3)-1)/26)+64)&amp;CHAR(MOD(COLUMN(BY3)-1,26)+65))&amp;$CK3&amp;""),"")</f>
        <v/>
      </c>
      <c r="CM3" s="77" t="str" cm="1">
        <f t="array" aca="1" ref="CM3" ca="1">IF($CK3&lt;&gt;"",
INDIRECT(""&amp;IF(COLUMN(BZ3)&lt;=26,CHAR(COLUMN(BZ3)+64),CHAR(INT((COLUMN(BZ3)-1)/26)+64)&amp;CHAR(MOD(COLUMN(BZ3)-1,26)+65))&amp;$CK3&amp;""),"")</f>
        <v/>
      </c>
      <c r="CN3" s="77" t="str" cm="1">
        <f t="array" aca="1" ref="CN3" ca="1">IF($CK3&lt;&gt;"",
INDIRECT(""&amp;IF(COLUMN(CA3)&lt;=26,CHAR(COLUMN(CA3)+64),CHAR(INT((COLUMN(CA3)-1)/26)+64)&amp;CHAR(MOD(COLUMN(CA3)-1,26)+65))&amp;$CK3&amp;""),"")</f>
        <v/>
      </c>
      <c r="CO3" s="77" t="str" cm="1">
        <f t="array" aca="1" ref="CO3" ca="1">IF($CK3&lt;&gt;"",
INDIRECT(""&amp;IF(COLUMN(CB3)&lt;=26,CHAR(COLUMN(CB3)+64),CHAR(INT((COLUMN(CB3)-1)/26)+64)&amp;CHAR(MOD(COLUMN(CB3)-1,26)+65))&amp;$CK3&amp;""),"")</f>
        <v/>
      </c>
      <c r="CP3" s="77" t="str" cm="1">
        <f t="array" aca="1" ref="CP3" ca="1">IF($CK3&lt;&gt;"",
INDIRECT(""&amp;IF(COLUMN(CC3)&lt;=26,CHAR(COLUMN(CC3)+64),CHAR(INT((COLUMN(CC3)-1)/26)+64)&amp;CHAR(MOD(COLUMN(CC3)-1,26)+65))&amp;$CK3&amp;""),"")</f>
        <v/>
      </c>
      <c r="CQ3" s="77" t="str" cm="1">
        <f t="array" aca="1" ref="CQ3" ca="1">IF($CK3&lt;&gt;"",
INDIRECT(""&amp;IF(COLUMN(CD3)&lt;=26,CHAR(COLUMN(CD3)+64),CHAR(INT((COLUMN(CD3)-1)/26)+64)&amp;CHAR(MOD(COLUMN(CD3)-1,26)+65))&amp;$CK3&amp;""),"")</f>
        <v/>
      </c>
      <c r="CR3" s="77" t="str" cm="1">
        <f t="array" aca="1" ref="CR3" ca="1">IF($CK3&lt;&gt;"",
INDIRECT(""&amp;IF(COLUMN(CE3)&lt;=26,CHAR(COLUMN(CE3)+64),CHAR(INT((COLUMN(CE3)-1)/26)+64)&amp;CHAR(MOD(COLUMN(CE3)-1,26)+65))&amp;$CK3&amp;""),"")</f>
        <v/>
      </c>
      <c r="CS3" s="77" t="str" cm="1">
        <f t="array" aca="1" ref="CS3" ca="1">IF($CK3&lt;&gt;"",
INDIRECT(""&amp;IF(COLUMN(CF3)&lt;=26,CHAR(COLUMN(CF3)+64),CHAR(INT((COLUMN(CF3)-1)/26)+64)&amp;CHAR(MOD(COLUMN(CF3)-1,26)+65))&amp;$CK3&amp;""),"")</f>
        <v/>
      </c>
      <c r="CT3" s="77" t="str" cm="1">
        <f t="array" aca="1" ref="CT3" ca="1">IF($CK3&lt;&gt;"",
INDIRECT(""&amp;IF(COLUMN(CG3)&lt;=26,CHAR(COLUMN(CG3)+64),CHAR(INT((COLUMN(CG3)-1)/26)+64)&amp;CHAR(MOD(COLUMN(CG3)-1,26)+65))&amp;$CK3&amp;""),"")</f>
        <v/>
      </c>
      <c r="CU3" s="77" t="str" cm="1">
        <f t="array" aca="1" ref="CU3" ca="1">IF($CK3&lt;&gt;"",
INDIRECT(""&amp;IF(COLUMN(CH3)&lt;=26,CHAR(COLUMN(CH3)+64),CHAR(INT((COLUMN(CH3)-1)/26)+64)&amp;CHAR(MOD(COLUMN(CH3)-1,26)+65))&amp;$CK3&amp;""),"")</f>
        <v/>
      </c>
    </row>
    <row r="4" spans="1:99" ht="18" customHeight="1" x14ac:dyDescent="0.45">
      <c r="B4" s="57"/>
      <c r="C4" s="90" t="str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91"/>
      <c r="E4" s="9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91"/>
      <c r="G4" s="101"/>
      <c r="H4" s="58"/>
      <c r="I4" s="57"/>
      <c r="J4" s="90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91"/>
      <c r="L4" s="93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91"/>
      <c r="N4" s="101"/>
      <c r="P4" s="58"/>
      <c r="Q4" s="57"/>
      <c r="R4" s="90" t="str" cm="1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91"/>
      <c r="T4" s="93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91"/>
      <c r="V4" s="101"/>
      <c r="W4" s="58"/>
      <c r="X4" s="57"/>
      <c r="Y4" s="90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91"/>
      <c r="AA4" s="93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91"/>
      <c r="AC4" s="101"/>
      <c r="AE4" s="58"/>
      <c r="AF4" s="57"/>
      <c r="AG4" s="90" t="str" cm="1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91"/>
      <c r="AI4" s="93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91"/>
      <c r="AK4" s="101"/>
      <c r="AL4" s="58"/>
      <c r="AM4" s="57"/>
      <c r="AN4" s="90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91"/>
      <c r="AP4" s="93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91"/>
      <c r="AR4" s="101"/>
      <c r="AT4" s="58"/>
      <c r="AU4" s="57"/>
      <c r="AV4" s="90" t="str" cm="1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91"/>
      <c r="AX4" s="93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91"/>
      <c r="AZ4" s="101"/>
      <c r="BA4" s="58"/>
      <c r="BB4" s="57"/>
      <c r="BC4" s="90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91"/>
      <c r="BE4" s="93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91"/>
      <c r="BG4" s="101"/>
      <c r="BI4" s="58"/>
      <c r="BJ4" s="57"/>
      <c r="BK4" s="90" t="str" cm="1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91"/>
      <c r="BM4" s="93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91"/>
      <c r="BO4" s="101"/>
      <c r="BP4" s="58"/>
      <c r="BQ4" s="57"/>
      <c r="BR4" s="90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91"/>
      <c r="BT4" s="93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91"/>
      <c r="BV4" s="101"/>
      <c r="BX4" s="77">
        <v>42</v>
      </c>
      <c r="BY4" s="77" t="str" cm="1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77" t="str" cm="1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77" t="str" cm="1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77" t="str" cm="1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77" t="str" cm="1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77" t="str" cm="1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77" t="str" cm="1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77" t="str" cm="1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77" t="str" cm="1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77" t="str" cm="1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77">
        <f t="shared" ca="1" si="0"/>
        <v>0</v>
      </c>
      <c r="CJ4" s="77" t="b" cm="1">
        <f t="array" aca="1" ref="CJ4" ca="1">SUMPRODUCT((LEN(BY4:CH4)&gt;0)*1)&gt;0</f>
        <v>0</v>
      </c>
      <c r="CK4" s="77" t="str">
        <f t="array" aca="1" ref="CK4" ca="1">IFERROR(SMALL(IF(CI$1:CI$100&lt;&gt;0,CI$1:CI$100),ROW(A4)),"")</f>
        <v/>
      </c>
      <c r="CL4" s="77" t="str" cm="1">
        <f t="array" aca="1" ref="CL4" ca="1">IF($CK4&lt;&gt;"",
INDIRECT(""&amp;IF(COLUMN(BY4)&lt;=26,CHAR(COLUMN(BY4)+64),CHAR(INT((COLUMN(BY4)-1)/26)+64)&amp;CHAR(MOD(COLUMN(BY4)-1,26)+65))&amp;$CK4&amp;""),"")</f>
        <v/>
      </c>
      <c r="CM4" s="77" t="str" cm="1">
        <f t="array" aca="1" ref="CM4" ca="1">IF($CK4&lt;&gt;"",
INDIRECT(""&amp;IF(COLUMN(BZ4)&lt;=26,CHAR(COLUMN(BZ4)+64),CHAR(INT((COLUMN(BZ4)-1)/26)+64)&amp;CHAR(MOD(COLUMN(BZ4)-1,26)+65))&amp;$CK4&amp;""),"")</f>
        <v/>
      </c>
      <c r="CN4" s="77" t="str" cm="1">
        <f t="array" aca="1" ref="CN4" ca="1">IF($CK4&lt;&gt;"",
INDIRECT(""&amp;IF(COLUMN(CA4)&lt;=26,CHAR(COLUMN(CA4)+64),CHAR(INT((COLUMN(CA4)-1)/26)+64)&amp;CHAR(MOD(COLUMN(CA4)-1,26)+65))&amp;$CK4&amp;""),"")</f>
        <v/>
      </c>
      <c r="CO4" s="77" t="str" cm="1">
        <f t="array" aca="1" ref="CO4" ca="1">IF($CK4&lt;&gt;"",
INDIRECT(""&amp;IF(COLUMN(CB4)&lt;=26,CHAR(COLUMN(CB4)+64),CHAR(INT((COLUMN(CB4)-1)/26)+64)&amp;CHAR(MOD(COLUMN(CB4)-1,26)+65))&amp;$CK4&amp;""),"")</f>
        <v/>
      </c>
      <c r="CP4" s="77" t="str" cm="1">
        <f t="array" aca="1" ref="CP4" ca="1">IF($CK4&lt;&gt;"",
INDIRECT(""&amp;IF(COLUMN(CC4)&lt;=26,CHAR(COLUMN(CC4)+64),CHAR(INT((COLUMN(CC4)-1)/26)+64)&amp;CHAR(MOD(COLUMN(CC4)-1,26)+65))&amp;$CK4&amp;""),"")</f>
        <v/>
      </c>
      <c r="CQ4" s="77" t="str" cm="1">
        <f t="array" aca="1" ref="CQ4" ca="1">IF($CK4&lt;&gt;"",
INDIRECT(""&amp;IF(COLUMN(CD4)&lt;=26,CHAR(COLUMN(CD4)+64),CHAR(INT((COLUMN(CD4)-1)/26)+64)&amp;CHAR(MOD(COLUMN(CD4)-1,26)+65))&amp;$CK4&amp;""),"")</f>
        <v/>
      </c>
      <c r="CR4" s="77" t="str" cm="1">
        <f t="array" aca="1" ref="CR4" ca="1">IF($CK4&lt;&gt;"",
INDIRECT(""&amp;IF(COLUMN(CE4)&lt;=26,CHAR(COLUMN(CE4)+64),CHAR(INT((COLUMN(CE4)-1)/26)+64)&amp;CHAR(MOD(COLUMN(CE4)-1,26)+65))&amp;$CK4&amp;""),"")</f>
        <v/>
      </c>
      <c r="CS4" s="77" t="str" cm="1">
        <f t="array" aca="1" ref="CS4" ca="1">IF($CK4&lt;&gt;"",
INDIRECT(""&amp;IF(COLUMN(CF4)&lt;=26,CHAR(COLUMN(CF4)+64),CHAR(INT((COLUMN(CF4)-1)/26)+64)&amp;CHAR(MOD(COLUMN(CF4)-1,26)+65))&amp;$CK4&amp;""),"")</f>
        <v/>
      </c>
      <c r="CT4" s="77" t="str" cm="1">
        <f t="array" aca="1" ref="CT4" ca="1">IF($CK4&lt;&gt;"",
INDIRECT(""&amp;IF(COLUMN(CG4)&lt;=26,CHAR(COLUMN(CG4)+64),CHAR(INT((COLUMN(CG4)-1)/26)+64)&amp;CHAR(MOD(COLUMN(CG4)-1,26)+65))&amp;$CK4&amp;""),"")</f>
        <v/>
      </c>
      <c r="CU4" s="77" t="str" cm="1">
        <f t="array" aca="1" ref="CU4" ca="1">IF($CK4&lt;&gt;"",
INDIRECT(""&amp;IF(COLUMN(CH4)&lt;=26,CHAR(COLUMN(CH4)+64),CHAR(INT((COLUMN(CH4)-1)/26)+64)&amp;CHAR(MOD(COLUMN(CH4)-1,26)+65))&amp;$CK4&amp;""),"")</f>
        <v/>
      </c>
    </row>
    <row r="5" spans="1:99" ht="18" customHeight="1" x14ac:dyDescent="0.45">
      <c r="B5" s="59"/>
      <c r="C5" s="92"/>
      <c r="D5" s="92"/>
      <c r="E5" s="92"/>
      <c r="F5" s="92"/>
      <c r="G5" s="102"/>
      <c r="H5" s="58"/>
      <c r="I5" s="59"/>
      <c r="J5" s="92"/>
      <c r="K5" s="92"/>
      <c r="L5" s="92"/>
      <c r="M5" s="92"/>
      <c r="N5" s="102"/>
      <c r="P5" s="58"/>
      <c r="Q5" s="59"/>
      <c r="R5" s="92"/>
      <c r="S5" s="92"/>
      <c r="T5" s="92"/>
      <c r="U5" s="92"/>
      <c r="V5" s="102"/>
      <c r="W5" s="58"/>
      <c r="X5" s="59"/>
      <c r="Y5" s="92"/>
      <c r="Z5" s="92"/>
      <c r="AA5" s="92"/>
      <c r="AB5" s="92"/>
      <c r="AC5" s="102"/>
      <c r="AE5" s="58"/>
      <c r="AF5" s="59"/>
      <c r="AG5" s="92"/>
      <c r="AH5" s="92"/>
      <c r="AI5" s="92"/>
      <c r="AJ5" s="92"/>
      <c r="AK5" s="102"/>
      <c r="AL5" s="58"/>
      <c r="AM5" s="59"/>
      <c r="AN5" s="92"/>
      <c r="AO5" s="92"/>
      <c r="AP5" s="92"/>
      <c r="AQ5" s="92"/>
      <c r="AR5" s="102"/>
      <c r="AT5" s="58"/>
      <c r="AU5" s="59"/>
      <c r="AV5" s="92"/>
      <c r="AW5" s="92"/>
      <c r="AX5" s="92"/>
      <c r="AY5" s="92"/>
      <c r="AZ5" s="102"/>
      <c r="BA5" s="58"/>
      <c r="BB5" s="59"/>
      <c r="BC5" s="92"/>
      <c r="BD5" s="92"/>
      <c r="BE5" s="92"/>
      <c r="BF5" s="92"/>
      <c r="BG5" s="102"/>
      <c r="BI5" s="58"/>
      <c r="BJ5" s="59"/>
      <c r="BK5" s="92"/>
      <c r="BL5" s="92"/>
      <c r="BM5" s="92"/>
      <c r="BN5" s="92"/>
      <c r="BO5" s="102"/>
      <c r="BP5" s="58"/>
      <c r="BQ5" s="59"/>
      <c r="BR5" s="92"/>
      <c r="BS5" s="92"/>
      <c r="BT5" s="92"/>
      <c r="BU5" s="92"/>
      <c r="BV5" s="102"/>
      <c r="BX5">
        <v>7</v>
      </c>
      <c r="BY5" s="77" t="str" cm="1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77" t="str" cm="1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77" t="str" cm="1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77" t="str" cm="1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77" t="str" cm="1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77" t="str" cm="1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77" t="str" cm="1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77" t="str" cm="1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77" t="str" cm="1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77" t="str" cm="1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77">
        <f t="shared" ca="1" si="0"/>
        <v>0</v>
      </c>
      <c r="CJ5" s="77" t="b" cm="1">
        <f t="array" aca="1" ref="CJ5" ca="1">SUMPRODUCT((LEN(BY5:CH5)&gt;0)*1)&gt;0</f>
        <v>0</v>
      </c>
      <c r="CK5" s="77" t="str">
        <f t="array" aca="1" ref="CK5" ca="1">IFERROR(SMALL(IF(CI$1:CI$100&lt;&gt;0,CI$1:CI$100),ROW(A5)),"")</f>
        <v/>
      </c>
      <c r="CL5" s="77" t="str" cm="1">
        <f t="array" aca="1" ref="CL5" ca="1">IF($CK5&lt;&gt;"",
INDIRECT(""&amp;IF(COLUMN(BY5)&lt;=26,CHAR(COLUMN(BY5)+64),CHAR(INT((COLUMN(BY5)-1)/26)+64)&amp;CHAR(MOD(COLUMN(BY5)-1,26)+65))&amp;$CK5&amp;""),"")</f>
        <v/>
      </c>
      <c r="CM5" s="77" t="str" cm="1">
        <f t="array" aca="1" ref="CM5" ca="1">IF($CK5&lt;&gt;"",
INDIRECT(""&amp;IF(COLUMN(BZ5)&lt;=26,CHAR(COLUMN(BZ5)+64),CHAR(INT((COLUMN(BZ5)-1)/26)+64)&amp;CHAR(MOD(COLUMN(BZ5)-1,26)+65))&amp;$CK5&amp;""),"")</f>
        <v/>
      </c>
      <c r="CN5" s="77" t="str" cm="1">
        <f t="array" aca="1" ref="CN5" ca="1">IF($CK5&lt;&gt;"",
INDIRECT(""&amp;IF(COLUMN(CA5)&lt;=26,CHAR(COLUMN(CA5)+64),CHAR(INT((COLUMN(CA5)-1)/26)+64)&amp;CHAR(MOD(COLUMN(CA5)-1,26)+65))&amp;$CK5&amp;""),"")</f>
        <v/>
      </c>
      <c r="CO5" s="77" t="str" cm="1">
        <f t="array" aca="1" ref="CO5" ca="1">IF($CK5&lt;&gt;"",
INDIRECT(""&amp;IF(COLUMN(CB5)&lt;=26,CHAR(COLUMN(CB5)+64),CHAR(INT((COLUMN(CB5)-1)/26)+64)&amp;CHAR(MOD(COLUMN(CB5)-1,26)+65))&amp;$CK5&amp;""),"")</f>
        <v/>
      </c>
      <c r="CP5" s="77" t="str" cm="1">
        <f t="array" aca="1" ref="CP5" ca="1">IF($CK5&lt;&gt;"",
INDIRECT(""&amp;IF(COLUMN(CC5)&lt;=26,CHAR(COLUMN(CC5)+64),CHAR(INT((COLUMN(CC5)-1)/26)+64)&amp;CHAR(MOD(COLUMN(CC5)-1,26)+65))&amp;$CK5&amp;""),"")</f>
        <v/>
      </c>
      <c r="CQ5" s="77" t="str" cm="1">
        <f t="array" aca="1" ref="CQ5" ca="1">IF($CK5&lt;&gt;"",
INDIRECT(""&amp;IF(COLUMN(CD5)&lt;=26,CHAR(COLUMN(CD5)+64),CHAR(INT((COLUMN(CD5)-1)/26)+64)&amp;CHAR(MOD(COLUMN(CD5)-1,26)+65))&amp;$CK5&amp;""),"")</f>
        <v/>
      </c>
      <c r="CR5" s="77" t="str" cm="1">
        <f t="array" aca="1" ref="CR5" ca="1">IF($CK5&lt;&gt;"",
INDIRECT(""&amp;IF(COLUMN(CE5)&lt;=26,CHAR(COLUMN(CE5)+64),CHAR(INT((COLUMN(CE5)-1)/26)+64)&amp;CHAR(MOD(COLUMN(CE5)-1,26)+65))&amp;$CK5&amp;""),"")</f>
        <v/>
      </c>
      <c r="CS5" s="77" t="str" cm="1">
        <f t="array" aca="1" ref="CS5" ca="1">IF($CK5&lt;&gt;"",
INDIRECT(""&amp;IF(COLUMN(CF5)&lt;=26,CHAR(COLUMN(CF5)+64),CHAR(INT((COLUMN(CF5)-1)/26)+64)&amp;CHAR(MOD(COLUMN(CF5)-1,26)+65))&amp;$CK5&amp;""),"")</f>
        <v/>
      </c>
      <c r="CT5" s="77" t="str" cm="1">
        <f t="array" aca="1" ref="CT5" ca="1">IF($CK5&lt;&gt;"",
INDIRECT(""&amp;IF(COLUMN(CG5)&lt;=26,CHAR(COLUMN(CG5)+64),CHAR(INT((COLUMN(CG5)-1)/26)+64)&amp;CHAR(MOD(COLUMN(CG5)-1,26)+65))&amp;$CK5&amp;""),"")</f>
        <v/>
      </c>
      <c r="CU5" s="77" t="str" cm="1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77" customFormat="1" ht="22.2" x14ac:dyDescent="0.55000000000000004">
      <c r="A6" s="53"/>
      <c r="B6" s="84" t="str">
        <f ca="1">IF(C2&lt;&gt;"",
"パン箱","")</f>
        <v/>
      </c>
      <c r="C6" s="82" t="str">
        <f ca="1">IF(C2&lt;&gt;"",
IF(OR(COUNTIF('盛付札（関数）'!C2,"*キャラ*"),COUNTIF('盛付札（関数）'!C2,"*赤*")),24,
VLOOKUP('盛付札（関数）'!C2,商品マスタ一覧!$D:$I,6,FALSE)),"")</f>
        <v/>
      </c>
      <c r="D6" s="84" t="str">
        <f ca="1">IF(C2&lt;&gt;"",
" 端数","")</f>
        <v/>
      </c>
      <c r="E6" s="82"/>
      <c r="F6" s="84" t="str">
        <f ca="1">IF(C2&lt;&gt;"",
"アレルギー","")</f>
        <v/>
      </c>
      <c r="G6" s="101"/>
      <c r="H6" s="53"/>
      <c r="I6" s="84" t="str">
        <f ca="1">IF(J2&lt;&gt;"",
"パン箱","")</f>
        <v/>
      </c>
      <c r="J6" s="82" t="str">
        <f ca="1">IF(J2&lt;&gt;"",
IF(OR(COUNTIF('盛付札（関数）'!J2,"*キャラ*"),COUNTIF('盛付札（関数）'!J2,"*赤*")),24,
VLOOKUP('盛付札（関数）'!J2,商品マスタ一覧!$D:$I,6,FALSE)),"")</f>
        <v/>
      </c>
      <c r="K6" s="84" t="str">
        <f ca="1">IF(J2&lt;&gt;"",
" 端数","")</f>
        <v/>
      </c>
      <c r="L6" s="82"/>
      <c r="M6" s="84" t="str">
        <f ca="1">IF(J2&lt;&gt;"",
"アレルギー","")</f>
        <v/>
      </c>
      <c r="N6" s="101"/>
      <c r="O6" s="53"/>
      <c r="P6" s="53"/>
      <c r="Q6" s="84" t="str">
        <f ca="1">IF(R2&lt;&gt;"",
"パン箱","")</f>
        <v/>
      </c>
      <c r="R6" s="82" t="str">
        <f ca="1">IF(R2&lt;&gt;"",
IF(OR(COUNTIF('盛付札（関数）'!R2,"*キャラ*"),COUNTIF('盛付札（関数）'!R2,"*赤*")),24,
VLOOKUP('盛付札（関数）'!R2,商品マスタ一覧!$D:$I,6,FALSE)),"")</f>
        <v/>
      </c>
      <c r="S6" s="84" t="str">
        <f ca="1">IF(R2&lt;&gt;"",
" 端数","")</f>
        <v/>
      </c>
      <c r="T6" s="82"/>
      <c r="U6" s="84" t="str">
        <f ca="1">IF(R2&lt;&gt;"",
"アレルギー","")</f>
        <v/>
      </c>
      <c r="V6" s="101"/>
      <c r="W6" s="53"/>
      <c r="X6" s="84" t="str">
        <f ca="1">IF(Y2&lt;&gt;"",
"パン箱","")</f>
        <v/>
      </c>
      <c r="Y6" s="82" t="str">
        <f ca="1">IF(Y2&lt;&gt;"",
IF(OR(COUNTIF('盛付札（関数）'!Y2,"*キャラ*"),COUNTIF('盛付札（関数）'!Y2,"*赤*")),24,
VLOOKUP('盛付札（関数）'!Y2,商品マスタ一覧!$D:$I,6,FALSE)),"")</f>
        <v/>
      </c>
      <c r="Z6" s="84" t="str">
        <f ca="1">IF(Y2&lt;&gt;"",
" 端数","")</f>
        <v/>
      </c>
      <c r="AA6" s="82"/>
      <c r="AB6" s="84" t="str">
        <f ca="1">IF(Y2&lt;&gt;"",
"アレルギー","")</f>
        <v/>
      </c>
      <c r="AC6" s="101"/>
      <c r="AD6" s="53"/>
      <c r="AE6" s="53"/>
      <c r="AF6" s="84" t="str">
        <f ca="1">IF(AG2&lt;&gt;"",
"パン箱","")</f>
        <v/>
      </c>
      <c r="AG6" s="82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84" t="str">
        <f ca="1">IF(AG2&lt;&gt;"",
" 端数","")</f>
        <v/>
      </c>
      <c r="AI6" s="82"/>
      <c r="AJ6" s="84" t="str">
        <f ca="1">IF(AG2&lt;&gt;"",
"アレルギー","")</f>
        <v/>
      </c>
      <c r="AK6" s="101"/>
      <c r="AL6" s="53"/>
      <c r="AM6" s="84" t="str">
        <f ca="1">IF(AN2&lt;&gt;"",
"パン箱","")</f>
        <v/>
      </c>
      <c r="AN6" s="82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84" t="str">
        <f ca="1">IF(AN2&lt;&gt;"",
" 端数","")</f>
        <v/>
      </c>
      <c r="AP6" s="82"/>
      <c r="AQ6" s="84" t="str">
        <f ca="1">IF(AN2&lt;&gt;"",
"アレルギー","")</f>
        <v/>
      </c>
      <c r="AR6" s="101"/>
      <c r="AS6" s="53"/>
      <c r="AT6" s="53"/>
      <c r="AU6" s="84" t="str">
        <f ca="1">IF(AV2&lt;&gt;"",
"パン箱","")</f>
        <v/>
      </c>
      <c r="AV6" s="82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84" t="str">
        <f ca="1">IF(AV2&lt;&gt;"",
" 端数","")</f>
        <v/>
      </c>
      <c r="AX6" s="82"/>
      <c r="AY6" s="84" t="str">
        <f ca="1">IF(AV2&lt;&gt;"",
"アレルギー","")</f>
        <v/>
      </c>
      <c r="AZ6" s="101"/>
      <c r="BA6" s="53"/>
      <c r="BB6" s="84" t="str">
        <f ca="1">IF(BC2&lt;&gt;"",
"パン箱","")</f>
        <v/>
      </c>
      <c r="BC6" s="82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84" t="str">
        <f ca="1">IF(BC2&lt;&gt;"",
" 端数","")</f>
        <v/>
      </c>
      <c r="BE6" s="82"/>
      <c r="BF6" s="84" t="str">
        <f ca="1">IF(BC2&lt;&gt;"",
"アレルギー","")</f>
        <v/>
      </c>
      <c r="BG6" s="101"/>
      <c r="BH6" s="53"/>
      <c r="BI6" s="53"/>
      <c r="BJ6" s="84" t="str">
        <f ca="1">IF(BK2&lt;&gt;"",
"パン箱","")</f>
        <v/>
      </c>
      <c r="BK6" s="82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84" t="str">
        <f ca="1">IF(BK2&lt;&gt;"",
" 端数","")</f>
        <v/>
      </c>
      <c r="BM6" s="82"/>
      <c r="BN6" s="84" t="str">
        <f ca="1">IF(BK2&lt;&gt;"",
"アレルギー","")</f>
        <v/>
      </c>
      <c r="BO6" s="101"/>
      <c r="BP6" s="53"/>
      <c r="BQ6" s="84" t="str">
        <f ca="1">IF(BR2&lt;&gt;"",
"パン箱","")</f>
        <v/>
      </c>
      <c r="BR6" s="82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84" t="str">
        <f ca="1">IF(BR2&lt;&gt;"",
" 端数","")</f>
        <v/>
      </c>
      <c r="BT6" s="82"/>
      <c r="BU6" s="84" t="str">
        <f ca="1">IF(BR2&lt;&gt;"",
"アレルギー","")</f>
        <v/>
      </c>
      <c r="BV6" s="101"/>
      <c r="BW6" s="53"/>
      <c r="BX6" s="77">
        <f>BX2+7</f>
        <v>49</v>
      </c>
      <c r="BY6" s="77" t="str" cm="1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77" t="str" cm="1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77" t="str" cm="1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77" t="str" cm="1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77" t="str" cm="1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77" t="str" cm="1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77" t="str" cm="1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77" t="str" cm="1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77" t="str" cm="1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77" t="str" cm="1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77">
        <f t="shared" ca="1" si="0"/>
        <v>0</v>
      </c>
      <c r="CJ6" s="77" t="b" cm="1">
        <f t="array" aca="1" ref="CJ6" ca="1">SUMPRODUCT((LEN(BY6:CH6)&gt;0)*1)&gt;0</f>
        <v>0</v>
      </c>
      <c r="CK6" s="77" t="str">
        <f t="array" aca="1" ref="CK6" ca="1">IFERROR(SMALL(IF(CI$1:CI$100&lt;&gt;0,CI$1:CI$100),ROW(A6)),"")</f>
        <v/>
      </c>
      <c r="CL6" s="77" t="str" cm="1">
        <f t="array" aca="1" ref="CL6" ca="1">IF($CK6&lt;&gt;"",
INDIRECT(""&amp;IF(COLUMN(BY6)&lt;=26,CHAR(COLUMN(BY6)+64),CHAR(INT((COLUMN(BY6)-1)/26)+64)&amp;CHAR(MOD(COLUMN(BY6)-1,26)+65))&amp;$CK6&amp;""),"")</f>
        <v/>
      </c>
      <c r="CM6" s="77" t="str" cm="1">
        <f t="array" aca="1" ref="CM6" ca="1">IF($CK6&lt;&gt;"",
INDIRECT(""&amp;IF(COLUMN(BZ6)&lt;=26,CHAR(COLUMN(BZ6)+64),CHAR(INT((COLUMN(BZ6)-1)/26)+64)&amp;CHAR(MOD(COLUMN(BZ6)-1,26)+65))&amp;$CK6&amp;""),"")</f>
        <v/>
      </c>
      <c r="CN6" s="77" t="str" cm="1">
        <f t="array" aca="1" ref="CN6" ca="1">IF($CK6&lt;&gt;"",
INDIRECT(""&amp;IF(COLUMN(CA6)&lt;=26,CHAR(COLUMN(CA6)+64),CHAR(INT((COLUMN(CA6)-1)/26)+64)&amp;CHAR(MOD(COLUMN(CA6)-1,26)+65))&amp;$CK6&amp;""),"")</f>
        <v/>
      </c>
      <c r="CO6" s="77" t="str" cm="1">
        <f t="array" aca="1" ref="CO6" ca="1">IF($CK6&lt;&gt;"",
INDIRECT(""&amp;IF(COLUMN(CB6)&lt;=26,CHAR(COLUMN(CB6)+64),CHAR(INT((COLUMN(CB6)-1)/26)+64)&amp;CHAR(MOD(COLUMN(CB6)-1,26)+65))&amp;$CK6&amp;""),"")</f>
        <v/>
      </c>
      <c r="CP6" s="77" t="str" cm="1">
        <f t="array" aca="1" ref="CP6" ca="1">IF($CK6&lt;&gt;"",
INDIRECT(""&amp;IF(COLUMN(CC6)&lt;=26,CHAR(COLUMN(CC6)+64),CHAR(INT((COLUMN(CC6)-1)/26)+64)&amp;CHAR(MOD(COLUMN(CC6)-1,26)+65))&amp;$CK6&amp;""),"")</f>
        <v/>
      </c>
      <c r="CQ6" s="77" t="str" cm="1">
        <f t="array" aca="1" ref="CQ6" ca="1">IF($CK6&lt;&gt;"",
INDIRECT(""&amp;IF(COLUMN(CD6)&lt;=26,CHAR(COLUMN(CD6)+64),CHAR(INT((COLUMN(CD6)-1)/26)+64)&amp;CHAR(MOD(COLUMN(CD6)-1,26)+65))&amp;$CK6&amp;""),"")</f>
        <v/>
      </c>
      <c r="CR6" s="77" t="str" cm="1">
        <f t="array" aca="1" ref="CR6" ca="1">IF($CK6&lt;&gt;"",
INDIRECT(""&amp;IF(COLUMN(CE6)&lt;=26,CHAR(COLUMN(CE6)+64),CHAR(INT((COLUMN(CE6)-1)/26)+64)&amp;CHAR(MOD(COLUMN(CE6)-1,26)+65))&amp;$CK6&amp;""),"")</f>
        <v/>
      </c>
      <c r="CS6" s="77" t="str" cm="1">
        <f t="array" aca="1" ref="CS6" ca="1">IF($CK6&lt;&gt;"",
INDIRECT(""&amp;IF(COLUMN(CF6)&lt;=26,CHAR(COLUMN(CF6)+64),CHAR(INT((COLUMN(CF6)-1)/26)+64)&amp;CHAR(MOD(COLUMN(CF6)-1,26)+65))&amp;$CK6&amp;""),"")</f>
        <v/>
      </c>
      <c r="CT6" s="77" t="str" cm="1">
        <f t="array" aca="1" ref="CT6" ca="1">IF($CK6&lt;&gt;"",
INDIRECT(""&amp;IF(COLUMN(CG6)&lt;=26,CHAR(COLUMN(CG6)+64),CHAR(INT((COLUMN(CG6)-1)/26)+64)&amp;CHAR(MOD(COLUMN(CG6)-1,26)+65))&amp;$CK6&amp;""),"")</f>
        <v/>
      </c>
      <c r="CU6" s="77" t="str" cm="1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97" t="str">
        <f ca="1">IF(C4&lt;&gt;"",
IFERROR(INT(C4/C6),""),"")</f>
        <v/>
      </c>
      <c r="C7" s="95"/>
      <c r="D7" s="97" t="str">
        <f ca="1">IFERROR(MOD(C4,C6),"")</f>
        <v/>
      </c>
      <c r="E7" s="95"/>
      <c r="F7" s="94" t="str">
        <f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"")="",0,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95"/>
      <c r="I7" s="97" t="str">
        <f ca="1">IF(J4&lt;&gt;"",
IFERROR(INT(J4/J6),""),"")</f>
        <v/>
      </c>
      <c r="J7" s="95"/>
      <c r="K7" s="97" t="str">
        <f ca="1">IFERROR(MOD(J4,J6),"")</f>
        <v/>
      </c>
      <c r="L7" s="95"/>
      <c r="M7" s="94" t="str">
        <f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"")="",0,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95"/>
      <c r="Q7" s="97" t="str">
        <f ca="1">IF(R4&lt;&gt;"",
IFERROR(INT(R4/R6),""),"")</f>
        <v/>
      </c>
      <c r="R7" s="95"/>
      <c r="S7" s="97" t="str">
        <f ca="1">IFERROR(MOD(R4,R6),"")</f>
        <v/>
      </c>
      <c r="T7" s="95"/>
      <c r="U7" s="94" t="str">
        <f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"")="",0,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95"/>
      <c r="X7" s="97" t="str">
        <f ca="1">IF(Y4&lt;&gt;"",
IFERROR(INT(Y4/Y6),""),"")</f>
        <v/>
      </c>
      <c r="Y7" s="95"/>
      <c r="Z7" s="97" t="str">
        <f ca="1">IFERROR(MOD(Y4,Y6),"")</f>
        <v/>
      </c>
      <c r="AA7" s="95"/>
      <c r="AB7" s="94" t="str">
        <f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"")="",0,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95"/>
      <c r="AF7" s="97" t="str">
        <f ca="1">IF(AG4&lt;&gt;"",
IFERROR(INT(AG4/AG6),""),"")</f>
        <v/>
      </c>
      <c r="AG7" s="95"/>
      <c r="AH7" s="97" t="str">
        <f ca="1">IFERROR(MOD(AG4,AG6),"")</f>
        <v/>
      </c>
      <c r="AI7" s="95"/>
      <c r="AJ7" s="94" t="str">
        <f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"")="",0,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95"/>
      <c r="AM7" s="97" t="str">
        <f ca="1">IF(AN4&lt;&gt;"",
IFERROR(INT(AN4/AN6),""),"")</f>
        <v/>
      </c>
      <c r="AN7" s="95"/>
      <c r="AO7" s="97" t="str">
        <f ca="1">IFERROR(MOD(AN4,AN6),"")</f>
        <v/>
      </c>
      <c r="AP7" s="95"/>
      <c r="AQ7" s="94" t="str">
        <f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"")="",0,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95"/>
      <c r="AU7" s="97" t="str">
        <f ca="1">IF(AV4&lt;&gt;"",
IFERROR(INT(AV4/AV6),""),"")</f>
        <v/>
      </c>
      <c r="AV7" s="95"/>
      <c r="AW7" s="97" t="str">
        <f ca="1">IFERROR(MOD(AV4,AV6),"")</f>
        <v/>
      </c>
      <c r="AX7" s="95"/>
      <c r="AY7" s="94" t="str">
        <f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"")="",0,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95"/>
      <c r="BB7" s="97" t="str">
        <f ca="1">IF(BC4&lt;&gt;"",
IFERROR(INT(BC4/BC6),""),"")</f>
        <v/>
      </c>
      <c r="BC7" s="95"/>
      <c r="BD7" s="97" t="str">
        <f ca="1">IFERROR(MOD(BC4,BC6),"")</f>
        <v/>
      </c>
      <c r="BE7" s="95"/>
      <c r="BF7" s="94" t="str">
        <f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"")="",0,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95"/>
      <c r="BJ7" s="97" t="str">
        <f ca="1">IF(BK4&lt;&gt;"",
IFERROR(INT(BK4/BK6),""),"")</f>
        <v/>
      </c>
      <c r="BK7" s="95"/>
      <c r="BL7" s="97" t="str">
        <f ca="1">IFERROR(MOD(BK4,BK6),"")</f>
        <v/>
      </c>
      <c r="BM7" s="95"/>
      <c r="BN7" s="94" t="str">
        <f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"")="",0,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95"/>
      <c r="BQ7" s="97" t="str">
        <f ca="1">IF(BR4&lt;&gt;"",
IFERROR(INT(BR4/BR6),""),"")</f>
        <v/>
      </c>
      <c r="BR7" s="95"/>
      <c r="BS7" s="97" t="str">
        <f ca="1">IFERROR(MOD(BR4,BR6),"")</f>
        <v/>
      </c>
      <c r="BT7" s="95"/>
      <c r="BU7" s="94" t="str">
        <f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"")="",0,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95"/>
      <c r="BX7" s="77">
        <v>7</v>
      </c>
      <c r="BY7" s="77" t="str" cm="1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77" t="str" cm="1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77" t="str" cm="1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77" t="str" cm="1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77" t="str" cm="1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77" t="str" cm="1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77" t="str" cm="1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77" t="str" cm="1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77" t="str" cm="1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77" t="str" cm="1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77">
        <f t="shared" ca="1" si="0"/>
        <v>0</v>
      </c>
      <c r="CJ7" s="77" t="b" cm="1">
        <f t="array" aca="1" ref="CJ7" ca="1">SUMPRODUCT((LEN(BY7:CH7)&gt;0)*1)&gt;0</f>
        <v>0</v>
      </c>
      <c r="CK7" s="77" t="str">
        <f t="array" aca="1" ref="CK7" ca="1">IFERROR(SMALL(IF(CI$1:CI$100&lt;&gt;0,CI$1:CI$100),ROW(A7)),"")</f>
        <v/>
      </c>
      <c r="CL7" s="77" t="str" cm="1">
        <f t="array" aca="1" ref="CL7" ca="1">IF($CK7&lt;&gt;"",
INDIRECT(""&amp;IF(COLUMN(BY7)&lt;=26,CHAR(COLUMN(BY7)+64),CHAR(INT((COLUMN(BY7)-1)/26)+64)&amp;CHAR(MOD(COLUMN(BY7)-1,26)+65))&amp;$CK7&amp;""),"")</f>
        <v/>
      </c>
      <c r="CM7" s="77" t="str" cm="1">
        <f t="array" aca="1" ref="CM7" ca="1">IF($CK7&lt;&gt;"",
INDIRECT(""&amp;IF(COLUMN(BZ7)&lt;=26,CHAR(COLUMN(BZ7)+64),CHAR(INT((COLUMN(BZ7)-1)/26)+64)&amp;CHAR(MOD(COLUMN(BZ7)-1,26)+65))&amp;$CK7&amp;""),"")</f>
        <v/>
      </c>
      <c r="CN7" s="77" t="str" cm="1">
        <f t="array" aca="1" ref="CN7" ca="1">IF($CK7&lt;&gt;"",
INDIRECT(""&amp;IF(COLUMN(CA7)&lt;=26,CHAR(COLUMN(CA7)+64),CHAR(INT((COLUMN(CA7)-1)/26)+64)&amp;CHAR(MOD(COLUMN(CA7)-1,26)+65))&amp;$CK7&amp;""),"")</f>
        <v/>
      </c>
      <c r="CO7" s="77" t="str" cm="1">
        <f t="array" aca="1" ref="CO7" ca="1">IF($CK7&lt;&gt;"",
INDIRECT(""&amp;IF(COLUMN(CB7)&lt;=26,CHAR(COLUMN(CB7)+64),CHAR(INT((COLUMN(CB7)-1)/26)+64)&amp;CHAR(MOD(COLUMN(CB7)-1,26)+65))&amp;$CK7&amp;""),"")</f>
        <v/>
      </c>
      <c r="CP7" s="77" t="str" cm="1">
        <f t="array" aca="1" ref="CP7" ca="1">IF($CK7&lt;&gt;"",
INDIRECT(""&amp;IF(COLUMN(CC7)&lt;=26,CHAR(COLUMN(CC7)+64),CHAR(INT((COLUMN(CC7)-1)/26)+64)&amp;CHAR(MOD(COLUMN(CC7)-1,26)+65))&amp;$CK7&amp;""),"")</f>
        <v/>
      </c>
      <c r="CQ7" s="77" t="str" cm="1">
        <f t="array" aca="1" ref="CQ7" ca="1">IF($CK7&lt;&gt;"",
INDIRECT(""&amp;IF(COLUMN(CD7)&lt;=26,CHAR(COLUMN(CD7)+64),CHAR(INT((COLUMN(CD7)-1)/26)+64)&amp;CHAR(MOD(COLUMN(CD7)-1,26)+65))&amp;$CK7&amp;""),"")</f>
        <v/>
      </c>
      <c r="CR7" s="77" t="str" cm="1">
        <f t="array" aca="1" ref="CR7" ca="1">IF($CK7&lt;&gt;"",
INDIRECT(""&amp;IF(COLUMN(CE7)&lt;=26,CHAR(COLUMN(CE7)+64),CHAR(INT((COLUMN(CE7)-1)/26)+64)&amp;CHAR(MOD(COLUMN(CE7)-1,26)+65))&amp;$CK7&amp;""),"")</f>
        <v/>
      </c>
      <c r="CS7" s="77" t="str" cm="1">
        <f t="array" aca="1" ref="CS7" ca="1">IF($CK7&lt;&gt;"",
INDIRECT(""&amp;IF(COLUMN(CF7)&lt;=26,CHAR(COLUMN(CF7)+64),CHAR(INT((COLUMN(CF7)-1)/26)+64)&amp;CHAR(MOD(COLUMN(CF7)-1,26)+65))&amp;$CK7&amp;""),"")</f>
        <v/>
      </c>
      <c r="CT7" s="77" t="str" cm="1">
        <f t="array" aca="1" ref="CT7" ca="1">IF($CK7&lt;&gt;"",
INDIRECT(""&amp;IF(COLUMN(CG7)&lt;=26,CHAR(COLUMN(CG7)+64),CHAR(INT((COLUMN(CG7)-1)/26)+64)&amp;CHAR(MOD(COLUMN(CG7)-1,26)+65))&amp;$CK7&amp;""),"")</f>
        <v/>
      </c>
      <c r="CU7" s="77" t="str" cm="1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77" customFormat="1" ht="18" customHeight="1" x14ac:dyDescent="0.55000000000000004">
      <c r="A8" s="75" t="e">
        <f t="array" aca="1" ref="A8" ca="1">IF(LEFT(N1,2)="博多",
IF(LEFT(INDIRECT("数出表_Excel!A"&amp;I1+2),2)="博多",
IF(LEFT(INDIRECT("数出表_Excel!A"&amp;I1+4),2)="博多",
I1+6,
I1+4),
I1+2),
IF(LEFT(N1,3)="奈良屋",
IF(LEFT(INDIRECT("数出表_Excel!A"&amp;I1+2),3)="奈良屋",
IF(LEFT(INDIRECT("数出表_Excel!A"&amp;I1+4),3)="奈良屋",
I1+6,
I1+4),
I1+2),
I1+2))</f>
        <v>#VALUE!</v>
      </c>
      <c r="B8" s="76" t="e">
        <f t="array" aca="1" ref="B8" ca="1">GetResult(A8)</f>
        <v>#VALUE!</v>
      </c>
      <c r="C8" s="88" t="str">
        <f ca="1">IF(C9&lt;&gt;"",
IF(LEFT(G8,2)="博多",
LEFT(G8,FIND("週",G8)-1),
G8),"")</f>
        <v/>
      </c>
      <c r="D8" s="89"/>
      <c r="E8" s="89"/>
      <c r="F8" s="89"/>
      <c r="G8" s="105" t="e" cm="1">
        <f t="array" aca="1" ref="G8" ca="1">INDIRECT("数出表_Excel!A"&amp;B8)</f>
        <v>#VALUE!</v>
      </c>
      <c r="H8" s="75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76" t="e">
        <f t="array" aca="1" ref="I8" ca="1">GetResult(H8)</f>
        <v>#VALUE!</v>
      </c>
      <c r="J8" s="88" t="str">
        <f ca="1">IF(J9&lt;&gt;"",
IF(LEFT(N8,2)="博多",
LEFT(N8,FIND("週",N8)-1),
N8),"")</f>
        <v/>
      </c>
      <c r="K8" s="89"/>
      <c r="L8" s="89"/>
      <c r="M8" s="89"/>
      <c r="N8" s="105" t="e" cm="1">
        <f t="array" aca="1" ref="N8" ca="1">INDIRECT("数出表_Excel!A"&amp;I8)</f>
        <v>#VALUE!</v>
      </c>
      <c r="O8" s="53"/>
      <c r="P8" s="75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76" t="e">
        <f t="array" aca="1" ref="Q8" ca="1">GetResult(P8)</f>
        <v>#VALUE!</v>
      </c>
      <c r="R8" s="88" t="str">
        <f ca="1">IF(R9&lt;&gt;"",
IF(LEFT(V8,2)="博多",
LEFT(V8,FIND("週",V8)-1),
V8),"")</f>
        <v/>
      </c>
      <c r="S8" s="89"/>
      <c r="T8" s="89"/>
      <c r="U8" s="89"/>
      <c r="V8" s="105" t="e" cm="1">
        <f t="array" aca="1" ref="V8" ca="1">INDIRECT("数出表_Excel!A"&amp;Q8)</f>
        <v>#VALUE!</v>
      </c>
      <c r="W8" s="75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76" t="e">
        <f t="array" aca="1" ref="X8" ca="1">GetResult(W8)</f>
        <v>#VALUE!</v>
      </c>
      <c r="Y8" s="88" t="str">
        <f ca="1">IF(Y9&lt;&gt;"",
IF(LEFT(AC8,2)="博多",
LEFT(AC8,FIND("週",AC8)-1),
AC8),"")</f>
        <v/>
      </c>
      <c r="Z8" s="89"/>
      <c r="AA8" s="89"/>
      <c r="AB8" s="89"/>
      <c r="AC8" s="105" t="e" cm="1">
        <f t="array" aca="1" ref="AC8" ca="1">INDIRECT("数出表_Excel!A"&amp;X8)</f>
        <v>#VALUE!</v>
      </c>
      <c r="AD8" s="53"/>
      <c r="AE8" s="75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76" t="e">
        <f t="array" aca="1" ref="AF8" ca="1">GetResult(AE8)</f>
        <v>#VALUE!</v>
      </c>
      <c r="AG8" s="88" t="str">
        <f ca="1">IF(AG9&lt;&gt;"",
IF(LEFT(AK8,2)="博多",
LEFT(AK8,FIND("週",AK8)-1),
AK8),"")</f>
        <v/>
      </c>
      <c r="AH8" s="89"/>
      <c r="AI8" s="89"/>
      <c r="AJ8" s="89"/>
      <c r="AK8" s="105" t="e" cm="1">
        <f t="array" aca="1" ref="AK8" ca="1">INDIRECT("数出表_Excel!A"&amp;AF8)</f>
        <v>#VALUE!</v>
      </c>
      <c r="AL8" s="75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76" t="e">
        <f t="array" aca="1" ref="AM8" ca="1">GetResult(AL8)</f>
        <v>#VALUE!</v>
      </c>
      <c r="AN8" s="88" t="str">
        <f ca="1">IF(AN9&lt;&gt;"",
IF(LEFT(AR8,2)="博多",
LEFT(AR8,FIND("週",AR8)-1),
AR8),"")</f>
        <v/>
      </c>
      <c r="AO8" s="89"/>
      <c r="AP8" s="89"/>
      <c r="AQ8" s="89"/>
      <c r="AR8" s="105" t="e" cm="1">
        <f t="array" aca="1" ref="AR8" ca="1">INDIRECT("数出表_Excel!A"&amp;AM8)</f>
        <v>#VALUE!</v>
      </c>
      <c r="AS8" s="53"/>
      <c r="AT8" s="75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76" t="e">
        <f t="array" aca="1" ref="AU8" ca="1">GetResult(AT8)</f>
        <v>#VALUE!</v>
      </c>
      <c r="AV8" s="88" t="str">
        <f ca="1">IF(AV9&lt;&gt;"",
IF(LEFT(AZ8,2)="博多",
LEFT(AZ8,FIND("週",AZ8)-1),
AZ8),"")</f>
        <v/>
      </c>
      <c r="AW8" s="89"/>
      <c r="AX8" s="89"/>
      <c r="AY8" s="89"/>
      <c r="AZ8" s="105" t="e" cm="1">
        <f t="array" aca="1" ref="AZ8" ca="1">INDIRECT("数出表_Excel!A"&amp;AU8)</f>
        <v>#VALUE!</v>
      </c>
      <c r="BA8" s="75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76" t="e">
        <f t="array" aca="1" ref="BB8" ca="1">GetResult(BA8)</f>
        <v>#VALUE!</v>
      </c>
      <c r="BC8" s="88" t="str">
        <f ca="1">IF(BC9&lt;&gt;"",
IF(LEFT(BG8,2)="博多",
LEFT(BG8,FIND("週",BG8)-1),
BG8),"")</f>
        <v/>
      </c>
      <c r="BD8" s="89"/>
      <c r="BE8" s="89"/>
      <c r="BF8" s="89"/>
      <c r="BG8" s="105" t="e" cm="1">
        <f t="array" aca="1" ref="BG8" ca="1">INDIRECT("数出表_Excel!A"&amp;BB8)</f>
        <v>#VALUE!</v>
      </c>
      <c r="BH8" s="53"/>
      <c r="BI8" s="75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76" t="e">
        <f t="array" aca="1" ref="BJ8" ca="1">GetResult(BI8)</f>
        <v>#VALUE!</v>
      </c>
      <c r="BK8" s="88" t="str">
        <f ca="1">IF(BK9&lt;&gt;"",
IF(LEFT(BO8,2)="博多",
LEFT(BO8,FIND("週",BO8)-1),
BO8),"")</f>
        <v/>
      </c>
      <c r="BL8" s="89"/>
      <c r="BM8" s="89"/>
      <c r="BN8" s="89"/>
      <c r="BO8" s="105" t="e" cm="1">
        <f t="array" aca="1" ref="BO8" ca="1">INDIRECT("数出表_Excel!A"&amp;BJ8)</f>
        <v>#VALUE!</v>
      </c>
      <c r="BP8" s="75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76" t="e">
        <f t="array" aca="1" ref="BQ8" ca="1">GetResult(BP8)</f>
        <v>#VALUE!</v>
      </c>
      <c r="BR8" s="88" t="str">
        <f ca="1">IF(BR9&lt;&gt;"",
IF(LEFT(BV8,2)="博多",
LEFT(BV8,FIND("週",BV8)-1),
BV8),"")</f>
        <v/>
      </c>
      <c r="BS8" s="89"/>
      <c r="BT8" s="89"/>
      <c r="BU8" s="89"/>
      <c r="BV8" s="105" t="e" cm="1">
        <f t="array" aca="1" ref="BV8" ca="1">INDIRECT("数出表_Excel!A"&amp;BQ8)</f>
        <v>#VALUE!</v>
      </c>
      <c r="BW8" s="53"/>
      <c r="BX8" s="77">
        <f>BX4+7</f>
        <v>49</v>
      </c>
      <c r="BY8" s="77" t="str" cm="1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77" t="str" cm="1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77" t="str" cm="1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77" t="str" cm="1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77" t="str" cm="1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77" t="str" cm="1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77" t="str" cm="1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77" t="str" cm="1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77" t="str" cm="1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77" t="str" cm="1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77">
        <f t="shared" ca="1" si="0"/>
        <v>0</v>
      </c>
      <c r="CJ8" s="77" t="b" cm="1">
        <f t="array" aca="1" ref="CJ8" ca="1">SUMPRODUCT((LEN(BY8:CH8)&gt;0)*1)&gt;0</f>
        <v>0</v>
      </c>
      <c r="CK8" s="77" t="str">
        <f t="array" aca="1" ref="CK8" ca="1">IFERROR(SMALL(IF(CI$1:CI$100&lt;&gt;0,CI$1:CI$100),ROW(A8)),"")</f>
        <v/>
      </c>
      <c r="CL8" s="77" t="str" cm="1">
        <f t="array" aca="1" ref="CL8" ca="1">IF($CK8&lt;&gt;"",
INDIRECT(""&amp;IF(COLUMN(BY8)&lt;=26,CHAR(COLUMN(BY8)+64),CHAR(INT((COLUMN(BY8)-1)/26)+64)&amp;CHAR(MOD(COLUMN(BY8)-1,26)+65))&amp;$CK8&amp;""),"")</f>
        <v/>
      </c>
      <c r="CM8" s="77" t="str" cm="1">
        <f t="array" aca="1" ref="CM8" ca="1">IF($CK8&lt;&gt;"",
INDIRECT(""&amp;IF(COLUMN(BZ8)&lt;=26,CHAR(COLUMN(BZ8)+64),CHAR(INT((COLUMN(BZ8)-1)/26)+64)&amp;CHAR(MOD(COLUMN(BZ8)-1,26)+65))&amp;$CK8&amp;""),"")</f>
        <v/>
      </c>
      <c r="CN8" s="77" t="str" cm="1">
        <f t="array" aca="1" ref="CN8" ca="1">IF($CK8&lt;&gt;"",
INDIRECT(""&amp;IF(COLUMN(CA8)&lt;=26,CHAR(COLUMN(CA8)+64),CHAR(INT((COLUMN(CA8)-1)/26)+64)&amp;CHAR(MOD(COLUMN(CA8)-1,26)+65))&amp;$CK8&amp;""),"")</f>
        <v/>
      </c>
      <c r="CO8" s="77" t="str" cm="1">
        <f t="array" aca="1" ref="CO8" ca="1">IF($CK8&lt;&gt;"",
INDIRECT(""&amp;IF(COLUMN(CB8)&lt;=26,CHAR(COLUMN(CB8)+64),CHAR(INT((COLUMN(CB8)-1)/26)+64)&amp;CHAR(MOD(COLUMN(CB8)-1,26)+65))&amp;$CK8&amp;""),"")</f>
        <v/>
      </c>
      <c r="CP8" s="77" t="str" cm="1">
        <f t="array" aca="1" ref="CP8" ca="1">IF($CK8&lt;&gt;"",
INDIRECT(""&amp;IF(COLUMN(CC8)&lt;=26,CHAR(COLUMN(CC8)+64),CHAR(INT((COLUMN(CC8)-1)/26)+64)&amp;CHAR(MOD(COLUMN(CC8)-1,26)+65))&amp;$CK8&amp;""),"")</f>
        <v/>
      </c>
      <c r="CQ8" s="77" t="str" cm="1">
        <f t="array" aca="1" ref="CQ8" ca="1">IF($CK8&lt;&gt;"",
INDIRECT(""&amp;IF(COLUMN(CD8)&lt;=26,CHAR(COLUMN(CD8)+64),CHAR(INT((COLUMN(CD8)-1)/26)+64)&amp;CHAR(MOD(COLUMN(CD8)-1,26)+65))&amp;$CK8&amp;""),"")</f>
        <v/>
      </c>
      <c r="CR8" s="77" t="str" cm="1">
        <f t="array" aca="1" ref="CR8" ca="1">IF($CK8&lt;&gt;"",
INDIRECT(""&amp;IF(COLUMN(CE8)&lt;=26,CHAR(COLUMN(CE8)+64),CHAR(INT((COLUMN(CE8)-1)/26)+64)&amp;CHAR(MOD(COLUMN(CE8)-1,26)+65))&amp;$CK8&amp;""),"")</f>
        <v/>
      </c>
      <c r="CS8" s="77" t="str" cm="1">
        <f t="array" aca="1" ref="CS8" ca="1">IF($CK8&lt;&gt;"",
INDIRECT(""&amp;IF(COLUMN(CF8)&lt;=26,CHAR(COLUMN(CF8)+64),CHAR(INT((COLUMN(CF8)-1)/26)+64)&amp;CHAR(MOD(COLUMN(CF8)-1,26)+65))&amp;$CK8&amp;""),"")</f>
        <v/>
      </c>
      <c r="CT8" s="77" t="str" cm="1">
        <f t="array" aca="1" ref="CT8" ca="1">IF($CK8&lt;&gt;"",
INDIRECT(""&amp;IF(COLUMN(CG8)&lt;=26,CHAR(COLUMN(CG8)+64),CHAR(INT((COLUMN(CG8)-1)/26)+64)&amp;CHAR(MOD(COLUMN(CG8)-1,26)+65))&amp;$CK8&amp;""),"")</f>
        <v/>
      </c>
      <c r="CU8" s="77" t="str" cm="1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77" customFormat="1" ht="18" customHeight="1" x14ac:dyDescent="0.55000000000000004">
      <c r="A9" s="75"/>
      <c r="B9" s="7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9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53"/>
      <c r="E9" s="108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8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00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75"/>
      <c r="I9" s="7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9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53"/>
      <c r="L9" s="108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8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00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53"/>
      <c r="P9" s="75"/>
      <c r="Q9" s="7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9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53"/>
      <c r="T9" s="108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8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0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75"/>
      <c r="X9" s="7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9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53"/>
      <c r="AA9" s="108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8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00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53"/>
      <c r="AE9" s="75"/>
      <c r="AF9" s="7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9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53"/>
      <c r="AI9" s="108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8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0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75"/>
      <c r="AM9" s="7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9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53"/>
      <c r="AP9" s="108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8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00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53"/>
      <c r="AT9" s="75"/>
      <c r="AU9" s="7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9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53"/>
      <c r="AX9" s="108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8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0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75"/>
      <c r="BB9" s="7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9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53"/>
      <c r="BE9" s="108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8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00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53"/>
      <c r="BI9" s="75"/>
      <c r="BJ9" s="7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9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53"/>
      <c r="BM9" s="108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8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0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75"/>
      <c r="BQ9" s="7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9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53"/>
      <c r="BT9" s="108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8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00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53"/>
      <c r="BX9" s="77">
        <f>BX5+7</f>
        <v>14</v>
      </c>
      <c r="BY9" s="77" t="str" cm="1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77" t="str" cm="1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77" t="str" cm="1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77" t="str" cm="1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77" t="str" cm="1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77" t="str" cm="1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77" t="str" cm="1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77" t="str" cm="1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77" t="str" cm="1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77" t="str" cm="1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77">
        <f t="shared" ca="1" si="0"/>
        <v>0</v>
      </c>
      <c r="CJ9" s="77" t="b" cm="1">
        <f t="array" aca="1" ref="CJ9" ca="1">SUMPRODUCT((LEN(BY9:CH9)&gt;0)*1)&gt;0</f>
        <v>0</v>
      </c>
      <c r="CK9" s="77" t="str">
        <f t="array" aca="1" ref="CK9" ca="1">IFERROR(SMALL(IF(CI$1:CI$100&lt;&gt;0,CI$1:CI$100),ROW(A9)),"")</f>
        <v/>
      </c>
      <c r="CL9" s="77" t="str" cm="1">
        <f t="array" aca="1" ref="CL9" ca="1">IF($CK9&lt;&gt;"",
INDIRECT(""&amp;IF(COLUMN(BY9)&lt;=26,CHAR(COLUMN(BY9)+64),CHAR(INT((COLUMN(BY9)-1)/26)+64)&amp;CHAR(MOD(COLUMN(BY9)-1,26)+65))&amp;$CK9&amp;""),"")</f>
        <v/>
      </c>
      <c r="CM9" s="77" t="str" cm="1">
        <f t="array" aca="1" ref="CM9" ca="1">IF($CK9&lt;&gt;"",
INDIRECT(""&amp;IF(COLUMN(BZ9)&lt;=26,CHAR(COLUMN(BZ9)+64),CHAR(INT((COLUMN(BZ9)-1)/26)+64)&amp;CHAR(MOD(COLUMN(BZ9)-1,26)+65))&amp;$CK9&amp;""),"")</f>
        <v/>
      </c>
      <c r="CN9" s="77" t="str" cm="1">
        <f t="array" aca="1" ref="CN9" ca="1">IF($CK9&lt;&gt;"",
INDIRECT(""&amp;IF(COLUMN(CA9)&lt;=26,CHAR(COLUMN(CA9)+64),CHAR(INT((COLUMN(CA9)-1)/26)+64)&amp;CHAR(MOD(COLUMN(CA9)-1,26)+65))&amp;$CK9&amp;""),"")</f>
        <v/>
      </c>
      <c r="CO9" s="77" t="str" cm="1">
        <f t="array" aca="1" ref="CO9" ca="1">IF($CK9&lt;&gt;"",
INDIRECT(""&amp;IF(COLUMN(CB9)&lt;=26,CHAR(COLUMN(CB9)+64),CHAR(INT((COLUMN(CB9)-1)/26)+64)&amp;CHAR(MOD(COLUMN(CB9)-1,26)+65))&amp;$CK9&amp;""),"")</f>
        <v/>
      </c>
      <c r="CP9" s="77" t="str" cm="1">
        <f t="array" aca="1" ref="CP9" ca="1">IF($CK9&lt;&gt;"",
INDIRECT(""&amp;IF(COLUMN(CC9)&lt;=26,CHAR(COLUMN(CC9)+64),CHAR(INT((COLUMN(CC9)-1)/26)+64)&amp;CHAR(MOD(COLUMN(CC9)-1,26)+65))&amp;$CK9&amp;""),"")</f>
        <v/>
      </c>
      <c r="CQ9" s="77" t="str" cm="1">
        <f t="array" aca="1" ref="CQ9" ca="1">IF($CK9&lt;&gt;"",
INDIRECT(""&amp;IF(COLUMN(CD9)&lt;=26,CHAR(COLUMN(CD9)+64),CHAR(INT((COLUMN(CD9)-1)/26)+64)&amp;CHAR(MOD(COLUMN(CD9)-1,26)+65))&amp;$CK9&amp;""),"")</f>
        <v/>
      </c>
      <c r="CR9" s="77" t="str" cm="1">
        <f t="array" aca="1" ref="CR9" ca="1">IF($CK9&lt;&gt;"",
INDIRECT(""&amp;IF(COLUMN(CE9)&lt;=26,CHAR(COLUMN(CE9)+64),CHAR(INT((COLUMN(CE9)-1)/26)+64)&amp;CHAR(MOD(COLUMN(CE9)-1,26)+65))&amp;$CK9&amp;""),"")</f>
        <v/>
      </c>
      <c r="CS9" s="77" t="str" cm="1">
        <f t="array" aca="1" ref="CS9" ca="1">IF($CK9&lt;&gt;"",
INDIRECT(""&amp;IF(COLUMN(CF9)&lt;=26,CHAR(COLUMN(CF9)+64),CHAR(INT((COLUMN(CF9)-1)/26)+64)&amp;CHAR(MOD(COLUMN(CF9)-1,26)+65))&amp;$CK9&amp;""),"")</f>
        <v/>
      </c>
      <c r="CT9" s="77" t="str" cm="1">
        <f t="array" aca="1" ref="CT9" ca="1">IF($CK9&lt;&gt;"",
INDIRECT(""&amp;IF(COLUMN(CG9)&lt;=26,CHAR(COLUMN(CG9)+64),CHAR(INT((COLUMN(CG9)-1)/26)+64)&amp;CHAR(MOD(COLUMN(CG9)-1,26)+65))&amp;$CK9&amp;""),"")</f>
        <v/>
      </c>
      <c r="CU9" s="77" t="str" cm="1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77" customFormat="1" ht="22.2" x14ac:dyDescent="0.55000000000000004">
      <c r="A10" s="83"/>
      <c r="B10" s="8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86" t="str">
        <f ca="1">IF(C9&lt;&gt;"",
"園児","")</f>
        <v/>
      </c>
      <c r="D10" s="87"/>
      <c r="E10" s="96" t="str">
        <f ca="1">IF(C9&lt;&gt;"",
"先生","")</f>
        <v/>
      </c>
      <c r="F10" s="87"/>
      <c r="G10" s="101"/>
      <c r="H10" s="83"/>
      <c r="I10" s="8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86" t="str">
        <f ca="1">IF(J9&lt;&gt;"",
"園児","")</f>
        <v/>
      </c>
      <c r="K10" s="87"/>
      <c r="L10" s="96" t="str">
        <f ca="1">IF(J9&lt;&gt;"",
"先生","")</f>
        <v/>
      </c>
      <c r="M10" s="87"/>
      <c r="N10" s="101"/>
      <c r="O10" s="53"/>
      <c r="P10" s="83"/>
      <c r="Q10" s="8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86" t="str">
        <f ca="1">IF(R9&lt;&gt;"",
"園児","")</f>
        <v/>
      </c>
      <c r="S10" s="87"/>
      <c r="T10" s="96" t="str">
        <f ca="1">IF(R9&lt;&gt;"",
"先生","")</f>
        <v/>
      </c>
      <c r="U10" s="87"/>
      <c r="V10" s="101"/>
      <c r="W10" s="83"/>
      <c r="X10" s="8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86" t="str">
        <f ca="1">IF(Y9&lt;&gt;"",
"園児","")</f>
        <v/>
      </c>
      <c r="Z10" s="87"/>
      <c r="AA10" s="96" t="str">
        <f ca="1">IF(Y9&lt;&gt;"",
"先生","")</f>
        <v/>
      </c>
      <c r="AB10" s="87"/>
      <c r="AC10" s="101"/>
      <c r="AD10" s="53"/>
      <c r="AE10" s="83"/>
      <c r="AF10" s="8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86" t="str">
        <f ca="1">IF(AG9&lt;&gt;"",
"園児","")</f>
        <v/>
      </c>
      <c r="AH10" s="87"/>
      <c r="AI10" s="96" t="str">
        <f ca="1">IF(AG9&lt;&gt;"",
"先生","")</f>
        <v/>
      </c>
      <c r="AJ10" s="87"/>
      <c r="AK10" s="101"/>
      <c r="AL10" s="83"/>
      <c r="AM10" s="8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86" t="str">
        <f ca="1">IF(AN9&lt;&gt;"",
"園児","")</f>
        <v/>
      </c>
      <c r="AO10" s="87"/>
      <c r="AP10" s="96" t="str">
        <f ca="1">IF(AN9&lt;&gt;"",
"先生","")</f>
        <v/>
      </c>
      <c r="AQ10" s="87"/>
      <c r="AR10" s="101"/>
      <c r="AS10" s="53"/>
      <c r="AT10" s="83"/>
      <c r="AU10" s="8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86" t="str">
        <f ca="1">IF(AV9&lt;&gt;"",
"園児","")</f>
        <v/>
      </c>
      <c r="AW10" s="87"/>
      <c r="AX10" s="96" t="str">
        <f ca="1">IF(AV9&lt;&gt;"",
"先生","")</f>
        <v/>
      </c>
      <c r="AY10" s="87"/>
      <c r="AZ10" s="101"/>
      <c r="BA10" s="83"/>
      <c r="BB10" s="8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86" t="str">
        <f ca="1">IF(BC9&lt;&gt;"",
"園児","")</f>
        <v/>
      </c>
      <c r="BD10" s="87"/>
      <c r="BE10" s="96" t="str">
        <f ca="1">IF(BC9&lt;&gt;"",
"先生","")</f>
        <v/>
      </c>
      <c r="BF10" s="87"/>
      <c r="BG10" s="101"/>
      <c r="BH10" s="53"/>
      <c r="BI10" s="83"/>
      <c r="BJ10" s="8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86" t="str">
        <f ca="1">IF(BK9&lt;&gt;"",
"園児","")</f>
        <v/>
      </c>
      <c r="BL10" s="87"/>
      <c r="BM10" s="96" t="str">
        <f ca="1">IF(BK9&lt;&gt;"",
"先生","")</f>
        <v/>
      </c>
      <c r="BN10" s="87"/>
      <c r="BO10" s="101"/>
      <c r="BP10" s="83"/>
      <c r="BQ10" s="8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86" t="str">
        <f ca="1">IF(BR9&lt;&gt;"",
"園児","")</f>
        <v/>
      </c>
      <c r="BS10" s="87"/>
      <c r="BT10" s="96" t="str">
        <f ca="1">IF(BR9&lt;&gt;"",
"先生","")</f>
        <v/>
      </c>
      <c r="BU10" s="87"/>
      <c r="BV10" s="101"/>
      <c r="BW10" s="53"/>
      <c r="BX10" s="77">
        <f>BX6+7</f>
        <v>56</v>
      </c>
      <c r="BY10" s="77" t="str" cm="1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77" t="str" cm="1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77" t="str" cm="1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77" t="str" cm="1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77" t="str" cm="1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77" t="str" cm="1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77" t="str" cm="1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77" t="str" cm="1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77" t="str" cm="1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77" t="str" cm="1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77">
        <f t="shared" ca="1" si="0"/>
        <v>0</v>
      </c>
      <c r="CJ10" s="77" t="b" cm="1">
        <f t="array" aca="1" ref="CJ10" ca="1">SUMPRODUCT((LEN(BY10:CH10)&gt;0)*1)&gt;0</f>
        <v>0</v>
      </c>
      <c r="CK10" s="77" t="str">
        <f t="array" aca="1" ref="CK10" ca="1">IFERROR(SMALL(IF(CI$1:CI$100&lt;&gt;0,CI$1:CI$100),ROW(A10)),"")</f>
        <v/>
      </c>
      <c r="CL10" s="77" t="str" cm="1">
        <f t="array" aca="1" ref="CL10" ca="1">IF($CK10&lt;&gt;"",
INDIRECT(""&amp;IF(COLUMN(BY10)&lt;=26,CHAR(COLUMN(BY10)+64),CHAR(INT((COLUMN(BY10)-1)/26)+64)&amp;CHAR(MOD(COLUMN(BY10)-1,26)+65))&amp;$CK10&amp;""),"")</f>
        <v/>
      </c>
      <c r="CM10" s="77" t="str" cm="1">
        <f t="array" aca="1" ref="CM10" ca="1">IF($CK10&lt;&gt;"",
INDIRECT(""&amp;IF(COLUMN(BZ10)&lt;=26,CHAR(COLUMN(BZ10)+64),CHAR(INT((COLUMN(BZ10)-1)/26)+64)&amp;CHAR(MOD(COLUMN(BZ10)-1,26)+65))&amp;$CK10&amp;""),"")</f>
        <v/>
      </c>
      <c r="CN10" s="77" t="str" cm="1">
        <f t="array" aca="1" ref="CN10" ca="1">IF($CK10&lt;&gt;"",
INDIRECT(""&amp;IF(COLUMN(CA10)&lt;=26,CHAR(COLUMN(CA10)+64),CHAR(INT((COLUMN(CA10)-1)/26)+64)&amp;CHAR(MOD(COLUMN(CA10)-1,26)+65))&amp;$CK10&amp;""),"")</f>
        <v/>
      </c>
      <c r="CO10" s="77" t="str" cm="1">
        <f t="array" aca="1" ref="CO10" ca="1">IF($CK10&lt;&gt;"",
INDIRECT(""&amp;IF(COLUMN(CB10)&lt;=26,CHAR(COLUMN(CB10)+64),CHAR(INT((COLUMN(CB10)-1)/26)+64)&amp;CHAR(MOD(COLUMN(CB10)-1,26)+65))&amp;$CK10&amp;""),"")</f>
        <v/>
      </c>
      <c r="CP10" s="77" t="str" cm="1">
        <f t="array" aca="1" ref="CP10" ca="1">IF($CK10&lt;&gt;"",
INDIRECT(""&amp;IF(COLUMN(CC10)&lt;=26,CHAR(COLUMN(CC10)+64),CHAR(INT((COLUMN(CC10)-1)/26)+64)&amp;CHAR(MOD(COLUMN(CC10)-1,26)+65))&amp;$CK10&amp;""),"")</f>
        <v/>
      </c>
      <c r="CQ10" s="77" t="str" cm="1">
        <f t="array" aca="1" ref="CQ10" ca="1">IF($CK10&lt;&gt;"",
INDIRECT(""&amp;IF(COLUMN(CD10)&lt;=26,CHAR(COLUMN(CD10)+64),CHAR(INT((COLUMN(CD10)-1)/26)+64)&amp;CHAR(MOD(COLUMN(CD10)-1,26)+65))&amp;$CK10&amp;""),"")</f>
        <v/>
      </c>
      <c r="CR10" s="77" t="str" cm="1">
        <f t="array" aca="1" ref="CR10" ca="1">IF($CK10&lt;&gt;"",
INDIRECT(""&amp;IF(COLUMN(CE10)&lt;=26,CHAR(COLUMN(CE10)+64),CHAR(INT((COLUMN(CE10)-1)/26)+64)&amp;CHAR(MOD(COLUMN(CE10)-1,26)+65))&amp;$CK10&amp;""),"")</f>
        <v/>
      </c>
      <c r="CS10" s="77" t="str" cm="1">
        <f t="array" aca="1" ref="CS10" ca="1">IF($CK10&lt;&gt;"",
INDIRECT(""&amp;IF(COLUMN(CF10)&lt;=26,CHAR(COLUMN(CF10)+64),CHAR(INT((COLUMN(CF10)-1)/26)+64)&amp;CHAR(MOD(COLUMN(CF10)-1,26)+65))&amp;$CK10&amp;""),"")</f>
        <v/>
      </c>
      <c r="CT10" s="77" t="str" cm="1">
        <f t="array" aca="1" ref="CT10" ca="1">IF($CK10&lt;&gt;"",
INDIRECT(""&amp;IF(COLUMN(CG10)&lt;=26,CHAR(COLUMN(CG10)+64),CHAR(INT((COLUMN(CG10)-1)/26)+64)&amp;CHAR(MOD(COLUMN(CG10)-1,26)+65))&amp;$CK10&amp;""),"")</f>
        <v/>
      </c>
      <c r="CU10" s="77" t="str" cm="1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A11" s="58"/>
      <c r="B11" s="57"/>
      <c r="C11" s="90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91"/>
      <c r="E11" s="93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91"/>
      <c r="G11" s="101"/>
      <c r="H11" s="58"/>
      <c r="I11" s="57"/>
      <c r="J11" s="90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91"/>
      <c r="L11" s="93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91"/>
      <c r="N11" s="101"/>
      <c r="P11" s="58"/>
      <c r="Q11" s="57"/>
      <c r="R11" s="90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91"/>
      <c r="T11" s="93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91"/>
      <c r="V11" s="101"/>
      <c r="W11" s="58"/>
      <c r="X11" s="57"/>
      <c r="Y11" s="90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91"/>
      <c r="AA11" s="93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91"/>
      <c r="AC11" s="101"/>
      <c r="AE11" s="58"/>
      <c r="AF11" s="57"/>
      <c r="AG11" s="90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91"/>
      <c r="AI11" s="93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91"/>
      <c r="AK11" s="101"/>
      <c r="AL11" s="58"/>
      <c r="AM11" s="57"/>
      <c r="AN11" s="90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91"/>
      <c r="AP11" s="93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91"/>
      <c r="AR11" s="101"/>
      <c r="AT11" s="58"/>
      <c r="AU11" s="57"/>
      <c r="AV11" s="90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91"/>
      <c r="AX11" s="93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91"/>
      <c r="AZ11" s="101"/>
      <c r="BA11" s="58"/>
      <c r="BB11" s="57"/>
      <c r="BC11" s="90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91"/>
      <c r="BE11" s="93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91"/>
      <c r="BG11" s="101"/>
      <c r="BI11" s="58"/>
      <c r="BJ11" s="57"/>
      <c r="BK11" s="90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91"/>
      <c r="BM11" s="93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91"/>
      <c r="BO11" s="101"/>
      <c r="BP11" s="58"/>
      <c r="BQ11" s="57"/>
      <c r="BR11" s="90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91"/>
      <c r="BT11" s="93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91"/>
      <c r="BV11" s="101"/>
      <c r="BX11">
        <f>BX7+7</f>
        <v>14</v>
      </c>
      <c r="BY11" s="77" t="str" cm="1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77" t="str" cm="1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77" t="str" cm="1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77" t="str" cm="1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77" t="str" cm="1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77" t="str" cm="1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77" t="str" cm="1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77" t="str" cm="1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77" t="str" cm="1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77" t="str" cm="1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77">
        <f t="shared" ca="1" si="0"/>
        <v>0</v>
      </c>
      <c r="CJ11" s="77" t="b" cm="1">
        <f t="array" aca="1" ref="CJ11" ca="1">SUMPRODUCT((LEN(BY11:CH11)&gt;0)*1)&gt;0</f>
        <v>0</v>
      </c>
      <c r="CK11" s="77" t="str">
        <f t="array" aca="1" ref="CK11" ca="1">IFERROR(SMALL(IF(CI$1:CI$100&lt;&gt;0,CI$1:CI$100),ROW(A11)),"")</f>
        <v/>
      </c>
      <c r="CL11" s="77" t="str" cm="1">
        <f t="array" aca="1" ref="CL11" ca="1">IF($CK11&lt;&gt;"",
INDIRECT(""&amp;IF(COLUMN(BY11)&lt;=26,CHAR(COLUMN(BY11)+64),CHAR(INT((COLUMN(BY11)-1)/26)+64)&amp;CHAR(MOD(COLUMN(BY11)-1,26)+65))&amp;$CK11&amp;""),"")</f>
        <v/>
      </c>
      <c r="CM11" s="77" t="str" cm="1">
        <f t="array" aca="1" ref="CM11" ca="1">IF($CK11&lt;&gt;"",
INDIRECT(""&amp;IF(COLUMN(BZ11)&lt;=26,CHAR(COLUMN(BZ11)+64),CHAR(INT((COLUMN(BZ11)-1)/26)+64)&amp;CHAR(MOD(COLUMN(BZ11)-1,26)+65))&amp;$CK11&amp;""),"")</f>
        <v/>
      </c>
      <c r="CN11" s="77" t="str" cm="1">
        <f t="array" aca="1" ref="CN11" ca="1">IF($CK11&lt;&gt;"",
INDIRECT(""&amp;IF(COLUMN(CA11)&lt;=26,CHAR(COLUMN(CA11)+64),CHAR(INT((COLUMN(CA11)-1)/26)+64)&amp;CHAR(MOD(COLUMN(CA11)-1,26)+65))&amp;$CK11&amp;""),"")</f>
        <v/>
      </c>
      <c r="CO11" s="77" t="str" cm="1">
        <f t="array" aca="1" ref="CO11" ca="1">IF($CK11&lt;&gt;"",
INDIRECT(""&amp;IF(COLUMN(CB11)&lt;=26,CHAR(COLUMN(CB11)+64),CHAR(INT((COLUMN(CB11)-1)/26)+64)&amp;CHAR(MOD(COLUMN(CB11)-1,26)+65))&amp;$CK11&amp;""),"")</f>
        <v/>
      </c>
      <c r="CP11" s="77" t="str" cm="1">
        <f t="array" aca="1" ref="CP11" ca="1">IF($CK11&lt;&gt;"",
INDIRECT(""&amp;IF(COLUMN(CC11)&lt;=26,CHAR(COLUMN(CC11)+64),CHAR(INT((COLUMN(CC11)-1)/26)+64)&amp;CHAR(MOD(COLUMN(CC11)-1,26)+65))&amp;$CK11&amp;""),"")</f>
        <v/>
      </c>
      <c r="CQ11" s="77" t="str" cm="1">
        <f t="array" aca="1" ref="CQ11" ca="1">IF($CK11&lt;&gt;"",
INDIRECT(""&amp;IF(COLUMN(CD11)&lt;=26,CHAR(COLUMN(CD11)+64),CHAR(INT((COLUMN(CD11)-1)/26)+64)&amp;CHAR(MOD(COLUMN(CD11)-1,26)+65))&amp;$CK11&amp;""),"")</f>
        <v/>
      </c>
      <c r="CR11" s="77" t="str" cm="1">
        <f t="array" aca="1" ref="CR11" ca="1">IF($CK11&lt;&gt;"",
INDIRECT(""&amp;IF(COLUMN(CE11)&lt;=26,CHAR(COLUMN(CE11)+64),CHAR(INT((COLUMN(CE11)-1)/26)+64)&amp;CHAR(MOD(COLUMN(CE11)-1,26)+65))&amp;$CK11&amp;""),"")</f>
        <v/>
      </c>
      <c r="CS11" s="77" t="str" cm="1">
        <f t="array" aca="1" ref="CS11" ca="1">IF($CK11&lt;&gt;"",
INDIRECT(""&amp;IF(COLUMN(CF11)&lt;=26,CHAR(COLUMN(CF11)+64),CHAR(INT((COLUMN(CF11)-1)/26)+64)&amp;CHAR(MOD(COLUMN(CF11)-1,26)+65))&amp;$CK11&amp;""),"")</f>
        <v/>
      </c>
      <c r="CT11" s="77" t="str" cm="1">
        <f t="array" aca="1" ref="CT11" ca="1">IF($CK11&lt;&gt;"",
INDIRECT(""&amp;IF(COLUMN(CG11)&lt;=26,CHAR(COLUMN(CG11)+64),CHAR(INT((COLUMN(CG11)-1)/26)+64)&amp;CHAR(MOD(COLUMN(CG11)-1,26)+65))&amp;$CK11&amp;""),"")</f>
        <v/>
      </c>
      <c r="CU11" s="77" t="str" cm="1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A12" s="58"/>
      <c r="B12" s="59"/>
      <c r="C12" s="92"/>
      <c r="D12" s="92"/>
      <c r="E12" s="92"/>
      <c r="F12" s="92"/>
      <c r="G12" s="102"/>
      <c r="H12" s="58"/>
      <c r="I12" s="59"/>
      <c r="J12" s="92"/>
      <c r="K12" s="92"/>
      <c r="L12" s="92"/>
      <c r="M12" s="92"/>
      <c r="N12" s="102"/>
      <c r="P12" s="58"/>
      <c r="Q12" s="59"/>
      <c r="R12" s="92"/>
      <c r="S12" s="92"/>
      <c r="T12" s="92"/>
      <c r="U12" s="92"/>
      <c r="V12" s="102"/>
      <c r="W12" s="58"/>
      <c r="X12" s="59"/>
      <c r="Y12" s="92"/>
      <c r="Z12" s="92"/>
      <c r="AA12" s="92"/>
      <c r="AB12" s="92"/>
      <c r="AC12" s="102"/>
      <c r="AE12" s="58"/>
      <c r="AF12" s="59"/>
      <c r="AG12" s="92"/>
      <c r="AH12" s="92"/>
      <c r="AI12" s="92"/>
      <c r="AJ12" s="92"/>
      <c r="AK12" s="102"/>
      <c r="AL12" s="58"/>
      <c r="AM12" s="59"/>
      <c r="AN12" s="92"/>
      <c r="AO12" s="92"/>
      <c r="AP12" s="92"/>
      <c r="AQ12" s="92"/>
      <c r="AR12" s="102"/>
      <c r="AT12" s="58"/>
      <c r="AU12" s="59"/>
      <c r="AV12" s="92"/>
      <c r="AW12" s="92"/>
      <c r="AX12" s="92"/>
      <c r="AY12" s="92"/>
      <c r="AZ12" s="102"/>
      <c r="BA12" s="58"/>
      <c r="BB12" s="59"/>
      <c r="BC12" s="92"/>
      <c r="BD12" s="92"/>
      <c r="BE12" s="92"/>
      <c r="BF12" s="92"/>
      <c r="BG12" s="102"/>
      <c r="BI12" s="58"/>
      <c r="BJ12" s="59"/>
      <c r="BK12" s="92"/>
      <c r="BL12" s="92"/>
      <c r="BM12" s="92"/>
      <c r="BN12" s="92"/>
      <c r="BO12" s="102"/>
      <c r="BP12" s="58"/>
      <c r="BQ12" s="59"/>
      <c r="BR12" s="92"/>
      <c r="BS12" s="92"/>
      <c r="BT12" s="92"/>
      <c r="BU12" s="92"/>
      <c r="BV12" s="102"/>
      <c r="BX12" s="77">
        <f>BX8+7</f>
        <v>56</v>
      </c>
      <c r="BY12" s="77" t="str" cm="1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77" t="str" cm="1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77" t="str" cm="1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77" t="str" cm="1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77" t="str" cm="1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77" t="str" cm="1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77" t="str" cm="1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77" t="str" cm="1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77" t="str" cm="1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77" t="str" cm="1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77">
        <f t="shared" ca="1" si="0"/>
        <v>0</v>
      </c>
      <c r="CJ12" s="77" t="b" cm="1">
        <f t="array" aca="1" ref="CJ12" ca="1">SUMPRODUCT((LEN(BY12:CH12)&gt;0)*1)&gt;0</f>
        <v>0</v>
      </c>
      <c r="CK12" s="77" t="str">
        <f t="array" aca="1" ref="CK12" ca="1">IFERROR(SMALL(IF(CI$1:CI$100&lt;&gt;0,CI$1:CI$100),ROW(A12)),"")</f>
        <v/>
      </c>
      <c r="CL12" s="77" t="str" cm="1">
        <f t="array" aca="1" ref="CL12" ca="1">IF($CK12&lt;&gt;"",
INDIRECT(""&amp;IF(COLUMN(BY12)&lt;=26,CHAR(COLUMN(BY12)+64),CHAR(INT((COLUMN(BY12)-1)/26)+64)&amp;CHAR(MOD(COLUMN(BY12)-1,26)+65))&amp;$CK12&amp;""),"")</f>
        <v/>
      </c>
      <c r="CM12" s="77" t="str" cm="1">
        <f t="array" aca="1" ref="CM12" ca="1">IF($CK12&lt;&gt;"",
INDIRECT(""&amp;IF(COLUMN(BZ12)&lt;=26,CHAR(COLUMN(BZ12)+64),CHAR(INT((COLUMN(BZ12)-1)/26)+64)&amp;CHAR(MOD(COLUMN(BZ12)-1,26)+65))&amp;$CK12&amp;""),"")</f>
        <v/>
      </c>
      <c r="CN12" s="77" t="str" cm="1">
        <f t="array" aca="1" ref="CN12" ca="1">IF($CK12&lt;&gt;"",
INDIRECT(""&amp;IF(COLUMN(CA12)&lt;=26,CHAR(COLUMN(CA12)+64),CHAR(INT((COLUMN(CA12)-1)/26)+64)&amp;CHAR(MOD(COLUMN(CA12)-1,26)+65))&amp;$CK12&amp;""),"")</f>
        <v/>
      </c>
      <c r="CO12" s="77" t="str" cm="1">
        <f t="array" aca="1" ref="CO12" ca="1">IF($CK12&lt;&gt;"",
INDIRECT(""&amp;IF(COLUMN(CB12)&lt;=26,CHAR(COLUMN(CB12)+64),CHAR(INT((COLUMN(CB12)-1)/26)+64)&amp;CHAR(MOD(COLUMN(CB12)-1,26)+65))&amp;$CK12&amp;""),"")</f>
        <v/>
      </c>
      <c r="CP12" s="77" t="str" cm="1">
        <f t="array" aca="1" ref="CP12" ca="1">IF($CK12&lt;&gt;"",
INDIRECT(""&amp;IF(COLUMN(CC12)&lt;=26,CHAR(COLUMN(CC12)+64),CHAR(INT((COLUMN(CC12)-1)/26)+64)&amp;CHAR(MOD(COLUMN(CC12)-1,26)+65))&amp;$CK12&amp;""),"")</f>
        <v/>
      </c>
      <c r="CQ12" s="77" t="str" cm="1">
        <f t="array" aca="1" ref="CQ12" ca="1">IF($CK12&lt;&gt;"",
INDIRECT(""&amp;IF(COLUMN(CD12)&lt;=26,CHAR(COLUMN(CD12)+64),CHAR(INT((COLUMN(CD12)-1)/26)+64)&amp;CHAR(MOD(COLUMN(CD12)-1,26)+65))&amp;$CK12&amp;""),"")</f>
        <v/>
      </c>
      <c r="CR12" s="77" t="str" cm="1">
        <f t="array" aca="1" ref="CR12" ca="1">IF($CK12&lt;&gt;"",
INDIRECT(""&amp;IF(COLUMN(CE12)&lt;=26,CHAR(COLUMN(CE12)+64),CHAR(INT((COLUMN(CE12)-1)/26)+64)&amp;CHAR(MOD(COLUMN(CE12)-1,26)+65))&amp;$CK12&amp;""),"")</f>
        <v/>
      </c>
      <c r="CS12" s="77" t="str" cm="1">
        <f t="array" aca="1" ref="CS12" ca="1">IF($CK12&lt;&gt;"",
INDIRECT(""&amp;IF(COLUMN(CF12)&lt;=26,CHAR(COLUMN(CF12)+64),CHAR(INT((COLUMN(CF12)-1)/26)+64)&amp;CHAR(MOD(COLUMN(CF12)-1,26)+65))&amp;$CK12&amp;""),"")</f>
        <v/>
      </c>
      <c r="CT12" s="77" t="str" cm="1">
        <f t="array" aca="1" ref="CT12" ca="1">IF($CK12&lt;&gt;"",
INDIRECT(""&amp;IF(COLUMN(CG12)&lt;=26,CHAR(COLUMN(CG12)+64),CHAR(INT((COLUMN(CG12)-1)/26)+64)&amp;CHAR(MOD(COLUMN(CG12)-1,26)+65))&amp;$CK12&amp;""),"")</f>
        <v/>
      </c>
      <c r="CU12" s="77" t="str" cm="1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77" customFormat="1" ht="22.2" x14ac:dyDescent="0.55000000000000004">
      <c r="A13" s="53"/>
      <c r="B13" s="84" t="str">
        <f ca="1">IF(C9&lt;&gt;"",
"パン箱","")</f>
        <v/>
      </c>
      <c r="C13" s="82" t="str">
        <f ca="1">IF(C9&lt;&gt;"",
IF(OR(COUNTIF('盛付札（関数）'!C9,"*キャラ*"),COUNTIF('盛付札（関数）'!C9,"*赤*")),24,
VLOOKUP('盛付札（関数）'!C9,商品マスタ一覧!$D:$I,6,FALSE)),"")</f>
        <v/>
      </c>
      <c r="D13" s="84" t="str">
        <f ca="1">IF(C9&lt;&gt;"",
" 端数","")</f>
        <v/>
      </c>
      <c r="E13" s="82"/>
      <c r="F13" s="84" t="str">
        <f ca="1">IF(C9&lt;&gt;"",
"アレルギー","")</f>
        <v/>
      </c>
      <c r="G13" s="101"/>
      <c r="H13" s="53"/>
      <c r="I13" s="84" t="str">
        <f ca="1">IF(J9&lt;&gt;"",
"パン箱","")</f>
        <v/>
      </c>
      <c r="J13" s="82" t="str">
        <f ca="1">IF(J9&lt;&gt;"",
IF(OR(COUNTIF('盛付札（関数）'!J9,"*キャラ*"),COUNTIF('盛付札（関数）'!J9,"*赤*")),24,
VLOOKUP('盛付札（関数）'!J9,商品マスタ一覧!$D:$I,6,FALSE)),"")</f>
        <v/>
      </c>
      <c r="K13" s="84" t="str">
        <f ca="1">IF(J9&lt;&gt;"",
" 端数","")</f>
        <v/>
      </c>
      <c r="L13" s="82"/>
      <c r="M13" s="84" t="str">
        <f ca="1">IF(J9&lt;&gt;"",
"アレルギー","")</f>
        <v/>
      </c>
      <c r="N13" s="101"/>
      <c r="O13" s="53"/>
      <c r="P13" s="53"/>
      <c r="Q13" s="84" t="str">
        <f ca="1">IF(R9&lt;&gt;"",
"パン箱","")</f>
        <v/>
      </c>
      <c r="R13" s="82" t="str">
        <f ca="1">IF(R9&lt;&gt;"",
IF(OR(COUNTIF('盛付札（関数）'!R9,"*キャラ*"),COUNTIF('盛付札（関数）'!R9,"*赤*")),24,
VLOOKUP('盛付札（関数）'!R9,商品マスタ一覧!$D:$I,6,FALSE)),"")</f>
        <v/>
      </c>
      <c r="S13" s="84" t="str">
        <f ca="1">IF(R9&lt;&gt;"",
" 端数","")</f>
        <v/>
      </c>
      <c r="T13" s="82"/>
      <c r="U13" s="84" t="str">
        <f ca="1">IF(R9&lt;&gt;"",
"アレルギー","")</f>
        <v/>
      </c>
      <c r="V13" s="101"/>
      <c r="W13" s="53"/>
      <c r="X13" s="84" t="str">
        <f ca="1">IF(Y9&lt;&gt;"",
"パン箱","")</f>
        <v/>
      </c>
      <c r="Y13" s="82" t="str">
        <f ca="1">IF(Y9&lt;&gt;"",
IF(OR(COUNTIF('盛付札（関数）'!Y9,"*キャラ*"),COUNTIF('盛付札（関数）'!Y9,"*赤*")),24,
VLOOKUP('盛付札（関数）'!Y9,商品マスタ一覧!$D:$I,6,FALSE)),"")</f>
        <v/>
      </c>
      <c r="Z13" s="84" t="str">
        <f ca="1">IF(Y9&lt;&gt;"",
" 端数","")</f>
        <v/>
      </c>
      <c r="AA13" s="82"/>
      <c r="AB13" s="84" t="str">
        <f ca="1">IF(Y9&lt;&gt;"",
"アレルギー","")</f>
        <v/>
      </c>
      <c r="AC13" s="101"/>
      <c r="AD13" s="53"/>
      <c r="AE13" s="53"/>
      <c r="AF13" s="84" t="str">
        <f ca="1">IF(AG9&lt;&gt;"",
"パン箱","")</f>
        <v/>
      </c>
      <c r="AG13" s="82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84" t="str">
        <f ca="1">IF(AG9&lt;&gt;"",
" 端数","")</f>
        <v/>
      </c>
      <c r="AI13" s="82"/>
      <c r="AJ13" s="84" t="str">
        <f ca="1">IF(AG9&lt;&gt;"",
"アレルギー","")</f>
        <v/>
      </c>
      <c r="AK13" s="101"/>
      <c r="AL13" s="53"/>
      <c r="AM13" s="84" t="str">
        <f ca="1">IF(AN9&lt;&gt;"",
"パン箱","")</f>
        <v/>
      </c>
      <c r="AN13" s="82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84" t="str">
        <f ca="1">IF(AN9&lt;&gt;"",
" 端数","")</f>
        <v/>
      </c>
      <c r="AP13" s="82"/>
      <c r="AQ13" s="84" t="str">
        <f ca="1">IF(AN9&lt;&gt;"",
"アレルギー","")</f>
        <v/>
      </c>
      <c r="AR13" s="101"/>
      <c r="AS13" s="53"/>
      <c r="AT13" s="53"/>
      <c r="AU13" s="84" t="str">
        <f ca="1">IF(AV9&lt;&gt;"",
"パン箱","")</f>
        <v/>
      </c>
      <c r="AV13" s="82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84" t="str">
        <f ca="1">IF(AV9&lt;&gt;"",
" 端数","")</f>
        <v/>
      </c>
      <c r="AX13" s="82"/>
      <c r="AY13" s="84" t="str">
        <f ca="1">IF(AV9&lt;&gt;"",
"アレルギー","")</f>
        <v/>
      </c>
      <c r="AZ13" s="101"/>
      <c r="BA13" s="53"/>
      <c r="BB13" s="84" t="str">
        <f ca="1">IF(BC9&lt;&gt;"",
"パン箱","")</f>
        <v/>
      </c>
      <c r="BC13" s="82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84" t="str">
        <f ca="1">IF(BC9&lt;&gt;"",
" 端数","")</f>
        <v/>
      </c>
      <c r="BE13" s="82"/>
      <c r="BF13" s="84" t="str">
        <f ca="1">IF(BC9&lt;&gt;"",
"アレルギー","")</f>
        <v/>
      </c>
      <c r="BG13" s="101"/>
      <c r="BH13" s="53"/>
      <c r="BI13" s="53"/>
      <c r="BJ13" s="84" t="str">
        <f ca="1">IF(BK9&lt;&gt;"",
"パン箱","")</f>
        <v/>
      </c>
      <c r="BK13" s="82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84" t="str">
        <f ca="1">IF(BK9&lt;&gt;"",
" 端数","")</f>
        <v/>
      </c>
      <c r="BM13" s="82"/>
      <c r="BN13" s="84" t="str">
        <f ca="1">IF(BK9&lt;&gt;"",
"アレルギー","")</f>
        <v/>
      </c>
      <c r="BO13" s="101"/>
      <c r="BP13" s="53"/>
      <c r="BQ13" s="84" t="str">
        <f ca="1">IF(BR9&lt;&gt;"",
"パン箱","")</f>
        <v/>
      </c>
      <c r="BR13" s="82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84" t="str">
        <f ca="1">IF(BR9&lt;&gt;"",
" 端数","")</f>
        <v/>
      </c>
      <c r="BT13" s="82"/>
      <c r="BU13" s="84" t="str">
        <f ca="1">IF(BR9&lt;&gt;"",
"アレルギー","")</f>
        <v/>
      </c>
      <c r="BV13" s="101"/>
      <c r="BW13" s="53"/>
      <c r="BX13" s="77">
        <f>BX9+7</f>
        <v>21</v>
      </c>
      <c r="BY13" s="77" t="str" cm="1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77" t="str" cm="1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77" t="str" cm="1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77" t="str" cm="1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77" t="str" cm="1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77" t="str" cm="1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77" t="str" cm="1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77" t="str" cm="1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77" t="str" cm="1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77" t="str" cm="1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77">
        <f t="shared" ca="1" si="0"/>
        <v>0</v>
      </c>
      <c r="CJ13" s="77" t="b" cm="1">
        <f t="array" aca="1" ref="CJ13" ca="1">SUMPRODUCT((LEN(BY13:CH13)&gt;0)*1)&gt;0</f>
        <v>0</v>
      </c>
      <c r="CK13" s="77" t="str">
        <f t="array" aca="1" ref="CK13" ca="1">IFERROR(SMALL(IF(CI$1:CI$100&lt;&gt;0,CI$1:CI$100),ROW(A13)),"")</f>
        <v/>
      </c>
      <c r="CL13" s="77" t="str" cm="1">
        <f t="array" aca="1" ref="CL13" ca="1">IF($CK13&lt;&gt;"",
INDIRECT(""&amp;IF(COLUMN(BY13)&lt;=26,CHAR(COLUMN(BY13)+64),CHAR(INT((COLUMN(BY13)-1)/26)+64)&amp;CHAR(MOD(COLUMN(BY13)-1,26)+65))&amp;$CK13&amp;""),"")</f>
        <v/>
      </c>
      <c r="CM13" s="77" t="str" cm="1">
        <f t="array" aca="1" ref="CM13" ca="1">IF($CK13&lt;&gt;"",
INDIRECT(""&amp;IF(COLUMN(BZ13)&lt;=26,CHAR(COLUMN(BZ13)+64),CHAR(INT((COLUMN(BZ13)-1)/26)+64)&amp;CHAR(MOD(COLUMN(BZ13)-1,26)+65))&amp;$CK13&amp;""),"")</f>
        <v/>
      </c>
      <c r="CN13" s="77" t="str" cm="1">
        <f t="array" aca="1" ref="CN13" ca="1">IF($CK13&lt;&gt;"",
INDIRECT(""&amp;IF(COLUMN(CA13)&lt;=26,CHAR(COLUMN(CA13)+64),CHAR(INT((COLUMN(CA13)-1)/26)+64)&amp;CHAR(MOD(COLUMN(CA13)-1,26)+65))&amp;$CK13&amp;""),"")</f>
        <v/>
      </c>
      <c r="CO13" s="77" t="str" cm="1">
        <f t="array" aca="1" ref="CO13" ca="1">IF($CK13&lt;&gt;"",
INDIRECT(""&amp;IF(COLUMN(CB13)&lt;=26,CHAR(COLUMN(CB13)+64),CHAR(INT((COLUMN(CB13)-1)/26)+64)&amp;CHAR(MOD(COLUMN(CB13)-1,26)+65))&amp;$CK13&amp;""),"")</f>
        <v/>
      </c>
      <c r="CP13" s="77" t="str" cm="1">
        <f t="array" aca="1" ref="CP13" ca="1">IF($CK13&lt;&gt;"",
INDIRECT(""&amp;IF(COLUMN(CC13)&lt;=26,CHAR(COLUMN(CC13)+64),CHAR(INT((COLUMN(CC13)-1)/26)+64)&amp;CHAR(MOD(COLUMN(CC13)-1,26)+65))&amp;$CK13&amp;""),"")</f>
        <v/>
      </c>
      <c r="CQ13" s="77" t="str" cm="1">
        <f t="array" aca="1" ref="CQ13" ca="1">IF($CK13&lt;&gt;"",
INDIRECT(""&amp;IF(COLUMN(CD13)&lt;=26,CHAR(COLUMN(CD13)+64),CHAR(INT((COLUMN(CD13)-1)/26)+64)&amp;CHAR(MOD(COLUMN(CD13)-1,26)+65))&amp;$CK13&amp;""),"")</f>
        <v/>
      </c>
      <c r="CR13" s="77" t="str" cm="1">
        <f t="array" aca="1" ref="CR13" ca="1">IF($CK13&lt;&gt;"",
INDIRECT(""&amp;IF(COLUMN(CE13)&lt;=26,CHAR(COLUMN(CE13)+64),CHAR(INT((COLUMN(CE13)-1)/26)+64)&amp;CHAR(MOD(COLUMN(CE13)-1,26)+65))&amp;$CK13&amp;""),"")</f>
        <v/>
      </c>
      <c r="CS13" s="77" t="str" cm="1">
        <f t="array" aca="1" ref="CS13" ca="1">IF($CK13&lt;&gt;"",
INDIRECT(""&amp;IF(COLUMN(CF13)&lt;=26,CHAR(COLUMN(CF13)+64),CHAR(INT((COLUMN(CF13)-1)/26)+64)&amp;CHAR(MOD(COLUMN(CF13)-1,26)+65))&amp;$CK13&amp;""),"")</f>
        <v/>
      </c>
      <c r="CT13" s="77" t="str" cm="1">
        <f t="array" aca="1" ref="CT13" ca="1">IF($CK13&lt;&gt;"",
INDIRECT(""&amp;IF(COLUMN(CG13)&lt;=26,CHAR(COLUMN(CG13)+64),CHAR(INT((COLUMN(CG13)-1)/26)+64)&amp;CHAR(MOD(COLUMN(CG13)-1,26)+65))&amp;$CK13&amp;""),"")</f>
        <v/>
      </c>
      <c r="CU13" s="77" t="str" cm="1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97" t="str">
        <f ca="1">IF(C11&lt;&gt;"",
IFERROR(INT(C11/C13),""),"")</f>
        <v/>
      </c>
      <c r="C14" s="95"/>
      <c r="D14" s="97" t="str">
        <f ca="1">IFERROR(MOD(C11,C13),"")</f>
        <v/>
      </c>
      <c r="E14" s="95"/>
      <c r="F14" s="94" t="str">
        <f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"")="",0,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95"/>
      <c r="I14" s="97" t="str">
        <f ca="1">IF(J11&lt;&gt;"",
IFERROR(INT(J11/J13),""),"")</f>
        <v/>
      </c>
      <c r="J14" s="95"/>
      <c r="K14" s="97" t="str">
        <f ca="1">IFERROR(MOD(J11,J13),"")</f>
        <v/>
      </c>
      <c r="L14" s="95"/>
      <c r="M14" s="94" t="str">
        <f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"")="",0,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95"/>
      <c r="Q14" s="97" t="str">
        <f ca="1">IF(R11&lt;&gt;"",
IFERROR(INT(R11/R13),""),"")</f>
        <v/>
      </c>
      <c r="R14" s="95"/>
      <c r="S14" s="97" t="str">
        <f ca="1">IFERROR(MOD(R11,R13),"")</f>
        <v/>
      </c>
      <c r="T14" s="95"/>
      <c r="U14" s="94" t="str">
        <f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"")="",0,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95"/>
      <c r="X14" s="97" t="str">
        <f ca="1">IF(Y11&lt;&gt;"",
IFERROR(INT(Y11/Y13),""),"")</f>
        <v/>
      </c>
      <c r="Y14" s="95"/>
      <c r="Z14" s="97" t="str">
        <f ca="1">IFERROR(MOD(Y11,Y13),"")</f>
        <v/>
      </c>
      <c r="AA14" s="95"/>
      <c r="AB14" s="94" t="str">
        <f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"")="",0,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95"/>
      <c r="AF14" s="97" t="str">
        <f ca="1">IF(AG11&lt;&gt;"",
IFERROR(INT(AG11/AG13),""),"")</f>
        <v/>
      </c>
      <c r="AG14" s="95"/>
      <c r="AH14" s="97" t="str">
        <f ca="1">IFERROR(MOD(AG11,AG13),"")</f>
        <v/>
      </c>
      <c r="AI14" s="95"/>
      <c r="AJ14" s="94" t="str">
        <f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"")="",0,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95"/>
      <c r="AM14" s="97" t="str">
        <f ca="1">IF(AN11&lt;&gt;"",
IFERROR(INT(AN11/AN13),""),"")</f>
        <v/>
      </c>
      <c r="AN14" s="95"/>
      <c r="AO14" s="97" t="str">
        <f ca="1">IFERROR(MOD(AN11,AN13),"")</f>
        <v/>
      </c>
      <c r="AP14" s="95"/>
      <c r="AQ14" s="94" t="str">
        <f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"")="",0,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95"/>
      <c r="AU14" s="97" t="str">
        <f ca="1">IF(AV11&lt;&gt;"",
IFERROR(INT(AV11/AV13),""),"")</f>
        <v/>
      </c>
      <c r="AV14" s="95"/>
      <c r="AW14" s="97" t="str">
        <f ca="1">IFERROR(MOD(AV11,AV13),"")</f>
        <v/>
      </c>
      <c r="AX14" s="95"/>
      <c r="AY14" s="94" t="str">
        <f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"")="",0,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95"/>
      <c r="BB14" s="97" t="str">
        <f ca="1">IF(BC11&lt;&gt;"",
IFERROR(INT(BC11/BC13),""),"")</f>
        <v/>
      </c>
      <c r="BC14" s="95"/>
      <c r="BD14" s="97" t="str">
        <f ca="1">IFERROR(MOD(BC11,BC13),"")</f>
        <v/>
      </c>
      <c r="BE14" s="95"/>
      <c r="BF14" s="94" t="str">
        <f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"")="",0,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95"/>
      <c r="BJ14" s="97" t="str">
        <f ca="1">IF(BK11&lt;&gt;"",
IFERROR(INT(BK11/BK13),""),"")</f>
        <v/>
      </c>
      <c r="BK14" s="95"/>
      <c r="BL14" s="97" t="str">
        <f ca="1">IFERROR(MOD(BK11,BK13),"")</f>
        <v/>
      </c>
      <c r="BM14" s="95"/>
      <c r="BN14" s="94" t="str">
        <f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"")="",0,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95"/>
      <c r="BQ14" s="97" t="str">
        <f ca="1">IF(BR11&lt;&gt;"",
IFERROR(INT(BR11/BR13),""),"")</f>
        <v/>
      </c>
      <c r="BR14" s="95"/>
      <c r="BS14" s="97" t="str">
        <f ca="1">IFERROR(MOD(BR11,BR13),"")</f>
        <v/>
      </c>
      <c r="BT14" s="95"/>
      <c r="BU14" s="94" t="str">
        <f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"")="",0,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95"/>
      <c r="BX14" s="77">
        <f>BX10+7</f>
        <v>63</v>
      </c>
      <c r="BY14" s="77" t="str" cm="1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77" t="str" cm="1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77" t="str" cm="1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77" t="str" cm="1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77" t="str" cm="1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77" t="str" cm="1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77" t="str" cm="1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77" t="str" cm="1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77" t="str" cm="1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77" t="str" cm="1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77">
        <f t="shared" ca="1" si="0"/>
        <v>0</v>
      </c>
      <c r="CJ14" s="77" t="b" cm="1">
        <f t="array" aca="1" ref="CJ14" ca="1">SUMPRODUCT((LEN(BY14:CH14)&gt;0)*1)&gt;0</f>
        <v>0</v>
      </c>
      <c r="CK14" s="77" t="str">
        <f t="array" aca="1" ref="CK14" ca="1">IFERROR(SMALL(IF(CI$1:CI$100&lt;&gt;0,CI$1:CI$100),ROW(A14)),"")</f>
        <v/>
      </c>
      <c r="CL14" s="77" t="str" cm="1">
        <f t="array" aca="1" ref="CL14" ca="1">IF($CK14&lt;&gt;"",
INDIRECT(""&amp;IF(COLUMN(BY14)&lt;=26,CHAR(COLUMN(BY14)+64),CHAR(INT((COLUMN(BY14)-1)/26)+64)&amp;CHAR(MOD(COLUMN(BY14)-1,26)+65))&amp;$CK14&amp;""),"")</f>
        <v/>
      </c>
      <c r="CM14" s="77" t="str" cm="1">
        <f t="array" aca="1" ref="CM14" ca="1">IF($CK14&lt;&gt;"",
INDIRECT(""&amp;IF(COLUMN(BZ14)&lt;=26,CHAR(COLUMN(BZ14)+64),CHAR(INT((COLUMN(BZ14)-1)/26)+64)&amp;CHAR(MOD(COLUMN(BZ14)-1,26)+65))&amp;$CK14&amp;""),"")</f>
        <v/>
      </c>
      <c r="CN14" s="77" t="str" cm="1">
        <f t="array" aca="1" ref="CN14" ca="1">IF($CK14&lt;&gt;"",
INDIRECT(""&amp;IF(COLUMN(CA14)&lt;=26,CHAR(COLUMN(CA14)+64),CHAR(INT((COLUMN(CA14)-1)/26)+64)&amp;CHAR(MOD(COLUMN(CA14)-1,26)+65))&amp;$CK14&amp;""),"")</f>
        <v/>
      </c>
      <c r="CO14" s="77" t="str" cm="1">
        <f t="array" aca="1" ref="CO14" ca="1">IF($CK14&lt;&gt;"",
INDIRECT(""&amp;IF(COLUMN(CB14)&lt;=26,CHAR(COLUMN(CB14)+64),CHAR(INT((COLUMN(CB14)-1)/26)+64)&amp;CHAR(MOD(COLUMN(CB14)-1,26)+65))&amp;$CK14&amp;""),"")</f>
        <v/>
      </c>
      <c r="CP14" s="77" t="str" cm="1">
        <f t="array" aca="1" ref="CP14" ca="1">IF($CK14&lt;&gt;"",
INDIRECT(""&amp;IF(COLUMN(CC14)&lt;=26,CHAR(COLUMN(CC14)+64),CHAR(INT((COLUMN(CC14)-1)/26)+64)&amp;CHAR(MOD(COLUMN(CC14)-1,26)+65))&amp;$CK14&amp;""),"")</f>
        <v/>
      </c>
      <c r="CQ14" s="77" t="str" cm="1">
        <f t="array" aca="1" ref="CQ14" ca="1">IF($CK14&lt;&gt;"",
INDIRECT(""&amp;IF(COLUMN(CD14)&lt;=26,CHAR(COLUMN(CD14)+64),CHAR(INT((COLUMN(CD14)-1)/26)+64)&amp;CHAR(MOD(COLUMN(CD14)-1,26)+65))&amp;$CK14&amp;""),"")</f>
        <v/>
      </c>
      <c r="CR14" s="77" t="str" cm="1">
        <f t="array" aca="1" ref="CR14" ca="1">IF($CK14&lt;&gt;"",
INDIRECT(""&amp;IF(COLUMN(CE14)&lt;=26,CHAR(COLUMN(CE14)+64),CHAR(INT((COLUMN(CE14)-1)/26)+64)&amp;CHAR(MOD(COLUMN(CE14)-1,26)+65))&amp;$CK14&amp;""),"")</f>
        <v/>
      </c>
      <c r="CS14" s="77" t="str" cm="1">
        <f t="array" aca="1" ref="CS14" ca="1">IF($CK14&lt;&gt;"",
INDIRECT(""&amp;IF(COLUMN(CF14)&lt;=26,CHAR(COLUMN(CF14)+64),CHAR(INT((COLUMN(CF14)-1)/26)+64)&amp;CHAR(MOD(COLUMN(CF14)-1,26)+65))&amp;$CK14&amp;""),"")</f>
        <v/>
      </c>
      <c r="CT14" s="77" t="str" cm="1">
        <f t="array" aca="1" ref="CT14" ca="1">IF($CK14&lt;&gt;"",
INDIRECT(""&amp;IF(COLUMN(CG14)&lt;=26,CHAR(COLUMN(CG14)+64),CHAR(INT((COLUMN(CG14)-1)/26)+64)&amp;CHAR(MOD(COLUMN(CG14)-1,26)+65))&amp;$CK14&amp;""),"")</f>
        <v/>
      </c>
      <c r="CU14" s="77" t="str" cm="1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77" customFormat="1" ht="18" customHeight="1" x14ac:dyDescent="0.55000000000000004">
      <c r="A15" s="75" t="e">
        <f t="array" aca="1" ref="A15" ca="1">IF(LEFT(N8,2)="博多",
IF(LEFT(INDIRECT("数出表_Excel!A"&amp;I8+2),2)="博多",
IF(LEFT(INDIRECT("数出表_Excel!A"&amp;I8+4),2)="博多",
I8+6,
I8+4),
I8+2),
IF(LEFT(N8,3)="奈良屋",
IF(LEFT(INDIRECT("数出表_Excel!A"&amp;I8+2),3)="奈良屋",
IF(LEFT(INDIRECT("数出表_Excel!A"&amp;I8+4),3)="奈良屋",
I8+6,
I8+4),
I8+2),
I8+2))</f>
        <v>#VALUE!</v>
      </c>
      <c r="B15" s="76" t="e">
        <f t="array" aca="1" ref="B15" ca="1">GetResult(A15)</f>
        <v>#VALUE!</v>
      </c>
      <c r="C15" s="88" t="str">
        <f ca="1">IF(C16&lt;&gt;"",
IF(LEFT(G15,2)="博多",
LEFT(G15,FIND("週",G15)-1),
G15),"")</f>
        <v/>
      </c>
      <c r="D15" s="89"/>
      <c r="E15" s="89"/>
      <c r="F15" s="89"/>
      <c r="G15" s="105" t="e" cm="1">
        <f t="array" aca="1" ref="G15" ca="1">INDIRECT("数出表_Excel!A"&amp;B15)</f>
        <v>#VALUE!</v>
      </c>
      <c r="H15" s="75" t="e">
        <f t="array" aca="1" ref="H15" ca="1">IF(LEFT(G15,2)="博多",
IF(LEFT(INDIRECT("数出表_Excel!A"&amp;B15+2),2)="博多",
IF(LEFT(INDIRECT("数出表_Excel!A"&amp;B15+4),2)="博多",
B15+6,
B15+4),
B15+2),
IF(LEFT(G15,3)="奈良屋",
IF(LEFT(INDIRECT("数出表_Excel!A"&amp;B15+2),3)="奈良屋",
IF(LEFT(INDIRECT("数出表_Excel!A"&amp;B15+4),3)="奈良屋",
B15+6,
B15+4),
B15+2),
B15+2))</f>
        <v>#VALUE!</v>
      </c>
      <c r="I15" s="76" t="e">
        <f t="array" aca="1" ref="I15" ca="1">GetResult(H15)</f>
        <v>#VALUE!</v>
      </c>
      <c r="J15" s="88" t="str">
        <f ca="1">IF(J16&lt;&gt;"",
IF(LEFT(N15,2)="博多",
LEFT(N15,FIND("週",N15)-1),
N15),"")</f>
        <v/>
      </c>
      <c r="K15" s="89"/>
      <c r="L15" s="89"/>
      <c r="M15" s="89"/>
      <c r="N15" s="105" t="e" cm="1">
        <f t="array" aca="1" ref="N15" ca="1">INDIRECT("数出表_Excel!A"&amp;I15)</f>
        <v>#VALUE!</v>
      </c>
      <c r="O15" s="53"/>
      <c r="P15" s="75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76" t="e">
        <f t="array" aca="1" ref="Q15" ca="1">GetResult(P15)</f>
        <v>#VALUE!</v>
      </c>
      <c r="R15" s="88" t="str">
        <f ca="1">IF(R16&lt;&gt;"",
IF(LEFT(V15,2)="博多",
LEFT(V15,FIND("週",V15)-1),
V15),"")</f>
        <v/>
      </c>
      <c r="S15" s="89"/>
      <c r="T15" s="89"/>
      <c r="U15" s="89"/>
      <c r="V15" s="105" t="e" cm="1">
        <f t="array" aca="1" ref="V15" ca="1">INDIRECT("数出表_Excel!A"&amp;Q15)</f>
        <v>#VALUE!</v>
      </c>
      <c r="W15" s="75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76" t="e">
        <f t="array" aca="1" ref="X15" ca="1">GetResult(W15)</f>
        <v>#VALUE!</v>
      </c>
      <c r="Y15" s="88" t="str">
        <f ca="1">IF(Y16&lt;&gt;"",
IF(LEFT(AC15,2)="博多",
LEFT(AC15,FIND("週",AC15)-1),
AC15),"")</f>
        <v/>
      </c>
      <c r="Z15" s="89"/>
      <c r="AA15" s="89"/>
      <c r="AB15" s="89"/>
      <c r="AC15" s="105" t="e" cm="1">
        <f t="array" aca="1" ref="AC15" ca="1">INDIRECT("数出表_Excel!A"&amp;X15)</f>
        <v>#VALUE!</v>
      </c>
      <c r="AD15" s="53"/>
      <c r="AE15" s="75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76" t="e">
        <f t="array" aca="1" ref="AF15" ca="1">GetResult(AE15)</f>
        <v>#VALUE!</v>
      </c>
      <c r="AG15" s="88" t="str">
        <f ca="1">IF(AG16&lt;&gt;"",
IF(LEFT(AK15,2)="博多",
LEFT(AK15,FIND("週",AK15)-1),
AK15),"")</f>
        <v/>
      </c>
      <c r="AH15" s="89"/>
      <c r="AI15" s="89"/>
      <c r="AJ15" s="89"/>
      <c r="AK15" s="105" t="e" cm="1">
        <f t="array" aca="1" ref="AK15" ca="1">INDIRECT("数出表_Excel!A"&amp;AF15)</f>
        <v>#VALUE!</v>
      </c>
      <c r="AL15" s="75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76" t="e">
        <f t="array" aca="1" ref="AM15" ca="1">GetResult(AL15)</f>
        <v>#VALUE!</v>
      </c>
      <c r="AN15" s="88" t="str">
        <f ca="1">IF(AN16&lt;&gt;"",
IF(LEFT(AR15,2)="博多",
LEFT(AR15,FIND("週",AR15)-1),
AR15),"")</f>
        <v/>
      </c>
      <c r="AO15" s="89"/>
      <c r="AP15" s="89"/>
      <c r="AQ15" s="89"/>
      <c r="AR15" s="105" t="e" cm="1">
        <f t="array" aca="1" ref="AR15" ca="1">INDIRECT("数出表_Excel!A"&amp;AM15)</f>
        <v>#VALUE!</v>
      </c>
      <c r="AS15" s="53"/>
      <c r="AT15" s="75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76" t="e">
        <f t="array" aca="1" ref="AU15" ca="1">GetResult(AT15)</f>
        <v>#VALUE!</v>
      </c>
      <c r="AV15" s="88" t="str">
        <f ca="1">IF(AV16&lt;&gt;"",
IF(LEFT(AZ15,2)="博多",
LEFT(AZ15,FIND("週",AZ15)-1),
AZ15),"")</f>
        <v/>
      </c>
      <c r="AW15" s="89"/>
      <c r="AX15" s="89"/>
      <c r="AY15" s="89"/>
      <c r="AZ15" s="105" t="e" cm="1">
        <f t="array" aca="1" ref="AZ15" ca="1">INDIRECT("数出表_Excel!A"&amp;AU15)</f>
        <v>#VALUE!</v>
      </c>
      <c r="BA15" s="75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76" t="e">
        <f t="array" aca="1" ref="BB15" ca="1">GetResult(BA15)</f>
        <v>#VALUE!</v>
      </c>
      <c r="BC15" s="88" t="str">
        <f ca="1">IF(BC16&lt;&gt;"",
IF(LEFT(BG15,2)="博多",
LEFT(BG15,FIND("週",BG15)-1),
BG15),"")</f>
        <v/>
      </c>
      <c r="BD15" s="89"/>
      <c r="BE15" s="89"/>
      <c r="BF15" s="89"/>
      <c r="BG15" s="105" t="e" cm="1">
        <f t="array" aca="1" ref="BG15" ca="1">INDIRECT("数出表_Excel!A"&amp;BB15)</f>
        <v>#VALUE!</v>
      </c>
      <c r="BH15" s="53"/>
      <c r="BI15" s="75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76" t="e">
        <f t="array" aca="1" ref="BJ15" ca="1">GetResult(BI15)</f>
        <v>#VALUE!</v>
      </c>
      <c r="BK15" s="88" t="str">
        <f ca="1">IF(BK16&lt;&gt;"",
IF(LEFT(BO15,2)="博多",
LEFT(BO15,FIND("週",BO15)-1),
BO15),"")</f>
        <v/>
      </c>
      <c r="BL15" s="89"/>
      <c r="BM15" s="89"/>
      <c r="BN15" s="89"/>
      <c r="BO15" s="105" t="e" cm="1">
        <f t="array" aca="1" ref="BO15" ca="1">INDIRECT("数出表_Excel!A"&amp;BJ15)</f>
        <v>#VALUE!</v>
      </c>
      <c r="BP15" s="75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76" t="e">
        <f t="array" aca="1" ref="BQ15" ca="1">GetResult(BP15)</f>
        <v>#VALUE!</v>
      </c>
      <c r="BR15" s="88" t="str">
        <f ca="1">IF(BR16&lt;&gt;"",
IF(LEFT(BV15,2)="博多",
LEFT(BV15,FIND("週",BV15)-1),
BV15),"")</f>
        <v/>
      </c>
      <c r="BS15" s="89"/>
      <c r="BT15" s="89"/>
      <c r="BU15" s="89"/>
      <c r="BV15" s="105" t="e" cm="1">
        <f t="array" aca="1" ref="BV15" ca="1">INDIRECT("数出表_Excel!A"&amp;BQ15)</f>
        <v>#VALUE!</v>
      </c>
      <c r="BW15" s="53"/>
      <c r="BX15">
        <f>BX11+7</f>
        <v>21</v>
      </c>
      <c r="BY15" s="77" t="str" cm="1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77" t="str" cm="1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77" t="str" cm="1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77" t="str" cm="1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77" t="str" cm="1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77" t="str" cm="1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77" t="str" cm="1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77" t="str" cm="1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77" t="str" cm="1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77" t="str" cm="1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77">
        <f t="shared" ca="1" si="0"/>
        <v>0</v>
      </c>
      <c r="CJ15" s="77" t="b" cm="1">
        <f t="array" aca="1" ref="CJ15" ca="1">SUMPRODUCT((LEN(BY15:CH15)&gt;0)*1)&gt;0</f>
        <v>0</v>
      </c>
      <c r="CK15" s="77" t="str">
        <f t="array" aca="1" ref="CK15" ca="1">IFERROR(SMALL(IF(CI$1:CI$100&lt;&gt;0,CI$1:CI$100),ROW(A15)),"")</f>
        <v/>
      </c>
      <c r="CL15" s="77" t="str" cm="1">
        <f t="array" aca="1" ref="CL15" ca="1">IF($CK15&lt;&gt;"",
INDIRECT(""&amp;IF(COLUMN(BY15)&lt;=26,CHAR(COLUMN(BY15)+64),CHAR(INT((COLUMN(BY15)-1)/26)+64)&amp;CHAR(MOD(COLUMN(BY15)-1,26)+65))&amp;$CK15&amp;""),"")</f>
        <v/>
      </c>
      <c r="CM15" s="77" t="str" cm="1">
        <f t="array" aca="1" ref="CM15" ca="1">IF($CK15&lt;&gt;"",
INDIRECT(""&amp;IF(COLUMN(BZ15)&lt;=26,CHAR(COLUMN(BZ15)+64),CHAR(INT((COLUMN(BZ15)-1)/26)+64)&amp;CHAR(MOD(COLUMN(BZ15)-1,26)+65))&amp;$CK15&amp;""),"")</f>
        <v/>
      </c>
      <c r="CN15" s="77" t="str" cm="1">
        <f t="array" aca="1" ref="CN15" ca="1">IF($CK15&lt;&gt;"",
INDIRECT(""&amp;IF(COLUMN(CA15)&lt;=26,CHAR(COLUMN(CA15)+64),CHAR(INT((COLUMN(CA15)-1)/26)+64)&amp;CHAR(MOD(COLUMN(CA15)-1,26)+65))&amp;$CK15&amp;""),"")</f>
        <v/>
      </c>
      <c r="CO15" s="77" t="str" cm="1">
        <f t="array" aca="1" ref="CO15" ca="1">IF($CK15&lt;&gt;"",
INDIRECT(""&amp;IF(COLUMN(CB15)&lt;=26,CHAR(COLUMN(CB15)+64),CHAR(INT((COLUMN(CB15)-1)/26)+64)&amp;CHAR(MOD(COLUMN(CB15)-1,26)+65))&amp;$CK15&amp;""),"")</f>
        <v/>
      </c>
      <c r="CP15" s="77" t="str" cm="1">
        <f t="array" aca="1" ref="CP15" ca="1">IF($CK15&lt;&gt;"",
INDIRECT(""&amp;IF(COLUMN(CC15)&lt;=26,CHAR(COLUMN(CC15)+64),CHAR(INT((COLUMN(CC15)-1)/26)+64)&amp;CHAR(MOD(COLUMN(CC15)-1,26)+65))&amp;$CK15&amp;""),"")</f>
        <v/>
      </c>
      <c r="CQ15" s="77" t="str" cm="1">
        <f t="array" aca="1" ref="CQ15" ca="1">IF($CK15&lt;&gt;"",
INDIRECT(""&amp;IF(COLUMN(CD15)&lt;=26,CHAR(COLUMN(CD15)+64),CHAR(INT((COLUMN(CD15)-1)/26)+64)&amp;CHAR(MOD(COLUMN(CD15)-1,26)+65))&amp;$CK15&amp;""),"")</f>
        <v/>
      </c>
      <c r="CR15" s="77" t="str" cm="1">
        <f t="array" aca="1" ref="CR15" ca="1">IF($CK15&lt;&gt;"",
INDIRECT(""&amp;IF(COLUMN(CE15)&lt;=26,CHAR(COLUMN(CE15)+64),CHAR(INT((COLUMN(CE15)-1)/26)+64)&amp;CHAR(MOD(COLUMN(CE15)-1,26)+65))&amp;$CK15&amp;""),"")</f>
        <v/>
      </c>
      <c r="CS15" s="77" t="str" cm="1">
        <f t="array" aca="1" ref="CS15" ca="1">IF($CK15&lt;&gt;"",
INDIRECT(""&amp;IF(COLUMN(CF15)&lt;=26,CHAR(COLUMN(CF15)+64),CHAR(INT((COLUMN(CF15)-1)/26)+64)&amp;CHAR(MOD(COLUMN(CF15)-1,26)+65))&amp;$CK15&amp;""),"")</f>
        <v/>
      </c>
      <c r="CT15" s="77" t="str" cm="1">
        <f t="array" aca="1" ref="CT15" ca="1">IF($CK15&lt;&gt;"",
INDIRECT(""&amp;IF(COLUMN(CG15)&lt;=26,CHAR(COLUMN(CG15)+64),CHAR(INT((COLUMN(CG15)-1)/26)+64)&amp;CHAR(MOD(COLUMN(CG15)-1,26)+65))&amp;$CK15&amp;""),"")</f>
        <v/>
      </c>
      <c r="CU15" s="77" t="str" cm="1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77" customFormat="1" ht="18" customHeight="1" x14ac:dyDescent="0.55000000000000004">
      <c r="A16" s="75"/>
      <c r="B16" s="7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9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53"/>
      <c r="E16" s="108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8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00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75"/>
      <c r="I16" s="7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9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53"/>
      <c r="L16" s="108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8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00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53"/>
      <c r="P16" s="75"/>
      <c r="Q16" s="7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9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53"/>
      <c r="T16" s="108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8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0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75"/>
      <c r="X16" s="7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9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53"/>
      <c r="AA16" s="108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8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00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53"/>
      <c r="AE16" s="75"/>
      <c r="AF16" s="7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9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53"/>
      <c r="AI16" s="108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8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0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75"/>
      <c r="AM16" s="7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9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53"/>
      <c r="AP16" s="108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8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00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53"/>
      <c r="AT16" s="75"/>
      <c r="AU16" s="7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9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53"/>
      <c r="AX16" s="108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8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0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75"/>
      <c r="BB16" s="7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9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53"/>
      <c r="BE16" s="108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8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00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53"/>
      <c r="BI16" s="75"/>
      <c r="BJ16" s="7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9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53"/>
      <c r="BM16" s="108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8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0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75"/>
      <c r="BQ16" s="7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9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53"/>
      <c r="BT16" s="108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8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00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53"/>
      <c r="BX16" s="77">
        <f>BX12+7</f>
        <v>63</v>
      </c>
      <c r="BY16" s="77" t="str" cm="1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77" t="str" cm="1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77" t="str" cm="1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77" t="str" cm="1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77" t="str" cm="1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77" t="str" cm="1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77" t="str" cm="1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77" t="str" cm="1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77" t="str" cm="1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77" t="str" cm="1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77">
        <f t="shared" ca="1" si="0"/>
        <v>0</v>
      </c>
      <c r="CJ16" s="77" t="b" cm="1">
        <f t="array" aca="1" ref="CJ16" ca="1">SUMPRODUCT((LEN(BY16:CH16)&gt;0)*1)&gt;0</f>
        <v>0</v>
      </c>
      <c r="CK16" s="77" t="str">
        <f t="array" aca="1" ref="CK16" ca="1">IFERROR(SMALL(IF(CI$1:CI$100&lt;&gt;0,CI$1:CI$100),ROW(A16)),"")</f>
        <v/>
      </c>
      <c r="CL16" s="77" t="str" cm="1">
        <f t="array" aca="1" ref="CL16" ca="1">IF($CK16&lt;&gt;"",
INDIRECT(""&amp;IF(COLUMN(BY16)&lt;=26,CHAR(COLUMN(BY16)+64),CHAR(INT((COLUMN(BY16)-1)/26)+64)&amp;CHAR(MOD(COLUMN(BY16)-1,26)+65))&amp;$CK16&amp;""),"")</f>
        <v/>
      </c>
      <c r="CM16" s="77" t="str" cm="1">
        <f t="array" aca="1" ref="CM16" ca="1">IF($CK16&lt;&gt;"",
INDIRECT(""&amp;IF(COLUMN(BZ16)&lt;=26,CHAR(COLUMN(BZ16)+64),CHAR(INT((COLUMN(BZ16)-1)/26)+64)&amp;CHAR(MOD(COLUMN(BZ16)-1,26)+65))&amp;$CK16&amp;""),"")</f>
        <v/>
      </c>
      <c r="CN16" s="77" t="str" cm="1">
        <f t="array" aca="1" ref="CN16" ca="1">IF($CK16&lt;&gt;"",
INDIRECT(""&amp;IF(COLUMN(CA16)&lt;=26,CHAR(COLUMN(CA16)+64),CHAR(INT((COLUMN(CA16)-1)/26)+64)&amp;CHAR(MOD(COLUMN(CA16)-1,26)+65))&amp;$CK16&amp;""),"")</f>
        <v/>
      </c>
      <c r="CO16" s="77" t="str" cm="1">
        <f t="array" aca="1" ref="CO16" ca="1">IF($CK16&lt;&gt;"",
INDIRECT(""&amp;IF(COLUMN(CB16)&lt;=26,CHAR(COLUMN(CB16)+64),CHAR(INT((COLUMN(CB16)-1)/26)+64)&amp;CHAR(MOD(COLUMN(CB16)-1,26)+65))&amp;$CK16&amp;""),"")</f>
        <v/>
      </c>
      <c r="CP16" s="77" t="str" cm="1">
        <f t="array" aca="1" ref="CP16" ca="1">IF($CK16&lt;&gt;"",
INDIRECT(""&amp;IF(COLUMN(CC16)&lt;=26,CHAR(COLUMN(CC16)+64),CHAR(INT((COLUMN(CC16)-1)/26)+64)&amp;CHAR(MOD(COLUMN(CC16)-1,26)+65))&amp;$CK16&amp;""),"")</f>
        <v/>
      </c>
      <c r="CQ16" s="77" t="str" cm="1">
        <f t="array" aca="1" ref="CQ16" ca="1">IF($CK16&lt;&gt;"",
INDIRECT(""&amp;IF(COLUMN(CD16)&lt;=26,CHAR(COLUMN(CD16)+64),CHAR(INT((COLUMN(CD16)-1)/26)+64)&amp;CHAR(MOD(COLUMN(CD16)-1,26)+65))&amp;$CK16&amp;""),"")</f>
        <v/>
      </c>
      <c r="CR16" s="77" t="str" cm="1">
        <f t="array" aca="1" ref="CR16" ca="1">IF($CK16&lt;&gt;"",
INDIRECT(""&amp;IF(COLUMN(CE16)&lt;=26,CHAR(COLUMN(CE16)+64),CHAR(INT((COLUMN(CE16)-1)/26)+64)&amp;CHAR(MOD(COLUMN(CE16)-1,26)+65))&amp;$CK16&amp;""),"")</f>
        <v/>
      </c>
      <c r="CS16" s="77" t="str" cm="1">
        <f t="array" aca="1" ref="CS16" ca="1">IF($CK16&lt;&gt;"",
INDIRECT(""&amp;IF(COLUMN(CF16)&lt;=26,CHAR(COLUMN(CF16)+64),CHAR(INT((COLUMN(CF16)-1)/26)+64)&amp;CHAR(MOD(COLUMN(CF16)-1,26)+65))&amp;$CK16&amp;""),"")</f>
        <v/>
      </c>
      <c r="CT16" s="77" t="str" cm="1">
        <f t="array" aca="1" ref="CT16" ca="1">IF($CK16&lt;&gt;"",
INDIRECT(""&amp;IF(COLUMN(CG16)&lt;=26,CHAR(COLUMN(CG16)+64),CHAR(INT((COLUMN(CG16)-1)/26)+64)&amp;CHAR(MOD(COLUMN(CG16)-1,26)+65))&amp;$CK16&amp;""),"")</f>
        <v/>
      </c>
      <c r="CU16" s="77" t="str" cm="1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77" customFormat="1" ht="22.2" x14ac:dyDescent="0.55000000000000004">
      <c r="A17" s="83"/>
      <c r="B17" s="8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86" t="str">
        <f ca="1">IF(C16&lt;&gt;"",
"園児","")</f>
        <v/>
      </c>
      <c r="D17" s="87"/>
      <c r="E17" s="96" t="str">
        <f ca="1">IF(C16&lt;&gt;"",
"先生","")</f>
        <v/>
      </c>
      <c r="F17" s="87"/>
      <c r="G17" s="101"/>
      <c r="H17" s="83"/>
      <c r="I17" s="8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86" t="str">
        <f ca="1">IF(J16&lt;&gt;"",
"園児","")</f>
        <v/>
      </c>
      <c r="K17" s="87"/>
      <c r="L17" s="96" t="str">
        <f ca="1">IF(J16&lt;&gt;"",
"先生","")</f>
        <v/>
      </c>
      <c r="M17" s="87"/>
      <c r="N17" s="101"/>
      <c r="O17" s="53"/>
      <c r="P17" s="83"/>
      <c r="Q17" s="8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86" t="str">
        <f ca="1">IF(R16&lt;&gt;"",
"園児","")</f>
        <v/>
      </c>
      <c r="S17" s="87"/>
      <c r="T17" s="96" t="str">
        <f ca="1">IF(R16&lt;&gt;"",
"先生","")</f>
        <v/>
      </c>
      <c r="U17" s="87"/>
      <c r="V17" s="101"/>
      <c r="W17" s="83"/>
      <c r="X17" s="8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86" t="str">
        <f ca="1">IF(Y16&lt;&gt;"",
"園児","")</f>
        <v/>
      </c>
      <c r="Z17" s="87"/>
      <c r="AA17" s="96" t="str">
        <f ca="1">IF(Y16&lt;&gt;"",
"先生","")</f>
        <v/>
      </c>
      <c r="AB17" s="87"/>
      <c r="AC17" s="101"/>
      <c r="AD17" s="53"/>
      <c r="AE17" s="83"/>
      <c r="AF17" s="8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86" t="str">
        <f ca="1">IF(AG16&lt;&gt;"",
"園児","")</f>
        <v/>
      </c>
      <c r="AH17" s="87"/>
      <c r="AI17" s="96" t="str">
        <f ca="1">IF(AG16&lt;&gt;"",
"先生","")</f>
        <v/>
      </c>
      <c r="AJ17" s="87"/>
      <c r="AK17" s="101"/>
      <c r="AL17" s="83"/>
      <c r="AM17" s="8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86" t="str">
        <f ca="1">IF(AN16&lt;&gt;"",
"園児","")</f>
        <v/>
      </c>
      <c r="AO17" s="87"/>
      <c r="AP17" s="96" t="str">
        <f ca="1">IF(AN16&lt;&gt;"",
"先生","")</f>
        <v/>
      </c>
      <c r="AQ17" s="87"/>
      <c r="AR17" s="101"/>
      <c r="AS17" s="53"/>
      <c r="AT17" s="83"/>
      <c r="AU17" s="8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86" t="str">
        <f ca="1">IF(AV16&lt;&gt;"",
"園児","")</f>
        <v/>
      </c>
      <c r="AW17" s="87"/>
      <c r="AX17" s="96" t="str">
        <f ca="1">IF(AV16&lt;&gt;"",
"先生","")</f>
        <v/>
      </c>
      <c r="AY17" s="87"/>
      <c r="AZ17" s="101"/>
      <c r="BA17" s="83"/>
      <c r="BB17" s="8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86" t="str">
        <f ca="1">IF(BC16&lt;&gt;"",
"園児","")</f>
        <v/>
      </c>
      <c r="BD17" s="87"/>
      <c r="BE17" s="96" t="str">
        <f ca="1">IF(BC16&lt;&gt;"",
"先生","")</f>
        <v/>
      </c>
      <c r="BF17" s="87"/>
      <c r="BG17" s="101"/>
      <c r="BH17" s="53"/>
      <c r="BI17" s="83"/>
      <c r="BJ17" s="8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86" t="str">
        <f ca="1">IF(BK16&lt;&gt;"",
"園児","")</f>
        <v/>
      </c>
      <c r="BL17" s="87"/>
      <c r="BM17" s="96" t="str">
        <f ca="1">IF(BK16&lt;&gt;"",
"先生","")</f>
        <v/>
      </c>
      <c r="BN17" s="87"/>
      <c r="BO17" s="101"/>
      <c r="BP17" s="83"/>
      <c r="BQ17" s="8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86" t="str">
        <f ca="1">IF(BR16&lt;&gt;"",
"園児","")</f>
        <v/>
      </c>
      <c r="BS17" s="87"/>
      <c r="BT17" s="96" t="str">
        <f ca="1">IF(BR16&lt;&gt;"",
"先生","")</f>
        <v/>
      </c>
      <c r="BU17" s="87"/>
      <c r="BV17" s="101"/>
      <c r="BW17" s="53"/>
      <c r="BX17" s="77">
        <f>BX13+7</f>
        <v>28</v>
      </c>
      <c r="BY17" s="77" t="str" cm="1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77" t="str" cm="1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77" t="str" cm="1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77" t="str" cm="1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77" t="str" cm="1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77" t="str" cm="1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77" t="str" cm="1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77" t="str" cm="1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77" t="str" cm="1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77" t="str" cm="1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77">
        <f t="shared" ca="1" si="0"/>
        <v>0</v>
      </c>
      <c r="CJ17" s="77" t="b" cm="1">
        <f t="array" aca="1" ref="CJ17" ca="1">SUMPRODUCT((LEN(BY17:CH17)&gt;0)*1)&gt;0</f>
        <v>0</v>
      </c>
      <c r="CK17" s="77" t="str">
        <f t="array" aca="1" ref="CK17" ca="1">IFERROR(SMALL(IF(CI$1:CI$100&lt;&gt;0,CI$1:CI$100),ROW(A17)),"")</f>
        <v/>
      </c>
      <c r="CL17" s="77" t="str" cm="1">
        <f t="array" aca="1" ref="CL17" ca="1">IF($CK17&lt;&gt;"",
INDIRECT(""&amp;IF(COLUMN(BY17)&lt;=26,CHAR(COLUMN(BY17)+64),CHAR(INT((COLUMN(BY17)-1)/26)+64)&amp;CHAR(MOD(COLUMN(BY17)-1,26)+65))&amp;$CK17&amp;""),"")</f>
        <v/>
      </c>
      <c r="CM17" s="77" t="str" cm="1">
        <f t="array" aca="1" ref="CM17" ca="1">IF($CK17&lt;&gt;"",
INDIRECT(""&amp;IF(COLUMN(BZ17)&lt;=26,CHAR(COLUMN(BZ17)+64),CHAR(INT((COLUMN(BZ17)-1)/26)+64)&amp;CHAR(MOD(COLUMN(BZ17)-1,26)+65))&amp;$CK17&amp;""),"")</f>
        <v/>
      </c>
      <c r="CN17" s="77" t="str" cm="1">
        <f t="array" aca="1" ref="CN17" ca="1">IF($CK17&lt;&gt;"",
INDIRECT(""&amp;IF(COLUMN(CA17)&lt;=26,CHAR(COLUMN(CA17)+64),CHAR(INT((COLUMN(CA17)-1)/26)+64)&amp;CHAR(MOD(COLUMN(CA17)-1,26)+65))&amp;$CK17&amp;""),"")</f>
        <v/>
      </c>
      <c r="CO17" s="77" t="str" cm="1">
        <f t="array" aca="1" ref="CO17" ca="1">IF($CK17&lt;&gt;"",
INDIRECT(""&amp;IF(COLUMN(CB17)&lt;=26,CHAR(COLUMN(CB17)+64),CHAR(INT((COLUMN(CB17)-1)/26)+64)&amp;CHAR(MOD(COLUMN(CB17)-1,26)+65))&amp;$CK17&amp;""),"")</f>
        <v/>
      </c>
      <c r="CP17" s="77" t="str" cm="1">
        <f t="array" aca="1" ref="CP17" ca="1">IF($CK17&lt;&gt;"",
INDIRECT(""&amp;IF(COLUMN(CC17)&lt;=26,CHAR(COLUMN(CC17)+64),CHAR(INT((COLUMN(CC17)-1)/26)+64)&amp;CHAR(MOD(COLUMN(CC17)-1,26)+65))&amp;$CK17&amp;""),"")</f>
        <v/>
      </c>
      <c r="CQ17" s="77" t="str" cm="1">
        <f t="array" aca="1" ref="CQ17" ca="1">IF($CK17&lt;&gt;"",
INDIRECT(""&amp;IF(COLUMN(CD17)&lt;=26,CHAR(COLUMN(CD17)+64),CHAR(INT((COLUMN(CD17)-1)/26)+64)&amp;CHAR(MOD(COLUMN(CD17)-1,26)+65))&amp;$CK17&amp;""),"")</f>
        <v/>
      </c>
      <c r="CR17" s="77" t="str" cm="1">
        <f t="array" aca="1" ref="CR17" ca="1">IF($CK17&lt;&gt;"",
INDIRECT(""&amp;IF(COLUMN(CE17)&lt;=26,CHAR(COLUMN(CE17)+64),CHAR(INT((COLUMN(CE17)-1)/26)+64)&amp;CHAR(MOD(COLUMN(CE17)-1,26)+65))&amp;$CK17&amp;""),"")</f>
        <v/>
      </c>
      <c r="CS17" s="77" t="str" cm="1">
        <f t="array" aca="1" ref="CS17" ca="1">IF($CK17&lt;&gt;"",
INDIRECT(""&amp;IF(COLUMN(CF17)&lt;=26,CHAR(COLUMN(CF17)+64),CHAR(INT((COLUMN(CF17)-1)/26)+64)&amp;CHAR(MOD(COLUMN(CF17)-1,26)+65))&amp;$CK17&amp;""),"")</f>
        <v/>
      </c>
      <c r="CT17" s="77" t="str" cm="1">
        <f t="array" aca="1" ref="CT17" ca="1">IF($CK17&lt;&gt;"",
INDIRECT(""&amp;IF(COLUMN(CG17)&lt;=26,CHAR(COLUMN(CG17)+64),CHAR(INT((COLUMN(CG17)-1)/26)+64)&amp;CHAR(MOD(COLUMN(CG17)-1,26)+65))&amp;$CK17&amp;""),"")</f>
        <v/>
      </c>
      <c r="CU17" s="77" t="str" cm="1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A18" s="58"/>
      <c r="B18" s="57"/>
      <c r="C18" s="90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91"/>
      <c r="E18" s="93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91"/>
      <c r="G18" s="101"/>
      <c r="H18" s="58"/>
      <c r="I18" s="57"/>
      <c r="J18" s="90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91"/>
      <c r="L18" s="93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91"/>
      <c r="N18" s="101"/>
      <c r="P18" s="58"/>
      <c r="Q18" s="57"/>
      <c r="R18" s="90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91"/>
      <c r="T18" s="93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91"/>
      <c r="V18" s="101"/>
      <c r="W18" s="58"/>
      <c r="X18" s="57"/>
      <c r="Y18" s="90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91"/>
      <c r="AA18" s="93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91"/>
      <c r="AC18" s="101"/>
      <c r="AE18" s="58"/>
      <c r="AF18" s="57"/>
      <c r="AG18" s="90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91"/>
      <c r="AI18" s="93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91"/>
      <c r="AK18" s="101"/>
      <c r="AL18" s="58"/>
      <c r="AM18" s="57"/>
      <c r="AN18" s="90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91"/>
      <c r="AP18" s="93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91"/>
      <c r="AR18" s="101"/>
      <c r="AT18" s="58"/>
      <c r="AU18" s="57"/>
      <c r="AV18" s="90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91"/>
      <c r="AX18" s="93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91"/>
      <c r="AZ18" s="101"/>
      <c r="BA18" s="58"/>
      <c r="BB18" s="57"/>
      <c r="BC18" s="90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91"/>
      <c r="BE18" s="93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91"/>
      <c r="BG18" s="101"/>
      <c r="BI18" s="58"/>
      <c r="BJ18" s="57"/>
      <c r="BK18" s="90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91"/>
      <c r="BM18" s="93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91"/>
      <c r="BO18" s="101"/>
      <c r="BP18" s="58"/>
      <c r="BQ18" s="57"/>
      <c r="BR18" s="90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91"/>
      <c r="BT18" s="93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91"/>
      <c r="BV18" s="101"/>
      <c r="BX18" s="77">
        <f>BX14+7</f>
        <v>70</v>
      </c>
      <c r="BY18" s="77" t="str" cm="1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77" t="str" cm="1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77" t="str" cm="1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77" t="str" cm="1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77" t="str" cm="1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77" t="str" cm="1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77" t="str" cm="1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77" t="str" cm="1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77" t="str" cm="1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77" t="str" cm="1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77">
        <f t="shared" ca="1" si="0"/>
        <v>0</v>
      </c>
      <c r="CJ18" s="77" t="b" cm="1">
        <f t="array" aca="1" ref="CJ18" ca="1">SUMPRODUCT((LEN(BY18:CH18)&gt;0)*1)&gt;0</f>
        <v>0</v>
      </c>
      <c r="CK18" s="77" t="str">
        <f t="array" aca="1" ref="CK18" ca="1">IFERROR(SMALL(IF(CI$1:CI$100&lt;&gt;0,CI$1:CI$100),ROW(A18)),"")</f>
        <v/>
      </c>
      <c r="CL18" s="77" t="str" cm="1">
        <f t="array" aca="1" ref="CL18" ca="1">IF($CK18&lt;&gt;"",
INDIRECT(""&amp;IF(COLUMN(BY18)&lt;=26,CHAR(COLUMN(BY18)+64),CHAR(INT((COLUMN(BY18)-1)/26)+64)&amp;CHAR(MOD(COLUMN(BY18)-1,26)+65))&amp;$CK18&amp;""),"")</f>
        <v/>
      </c>
      <c r="CM18" s="77" t="str" cm="1">
        <f t="array" aca="1" ref="CM18" ca="1">IF($CK18&lt;&gt;"",
INDIRECT(""&amp;IF(COLUMN(BZ18)&lt;=26,CHAR(COLUMN(BZ18)+64),CHAR(INT((COLUMN(BZ18)-1)/26)+64)&amp;CHAR(MOD(COLUMN(BZ18)-1,26)+65))&amp;$CK18&amp;""),"")</f>
        <v/>
      </c>
      <c r="CN18" s="77" t="str" cm="1">
        <f t="array" aca="1" ref="CN18" ca="1">IF($CK18&lt;&gt;"",
INDIRECT(""&amp;IF(COLUMN(CA18)&lt;=26,CHAR(COLUMN(CA18)+64),CHAR(INT((COLUMN(CA18)-1)/26)+64)&amp;CHAR(MOD(COLUMN(CA18)-1,26)+65))&amp;$CK18&amp;""),"")</f>
        <v/>
      </c>
      <c r="CO18" s="77" t="str" cm="1">
        <f t="array" aca="1" ref="CO18" ca="1">IF($CK18&lt;&gt;"",
INDIRECT(""&amp;IF(COLUMN(CB18)&lt;=26,CHAR(COLUMN(CB18)+64),CHAR(INT((COLUMN(CB18)-1)/26)+64)&amp;CHAR(MOD(COLUMN(CB18)-1,26)+65))&amp;$CK18&amp;""),"")</f>
        <v/>
      </c>
      <c r="CP18" s="77" t="str" cm="1">
        <f t="array" aca="1" ref="CP18" ca="1">IF($CK18&lt;&gt;"",
INDIRECT(""&amp;IF(COLUMN(CC18)&lt;=26,CHAR(COLUMN(CC18)+64),CHAR(INT((COLUMN(CC18)-1)/26)+64)&amp;CHAR(MOD(COLUMN(CC18)-1,26)+65))&amp;$CK18&amp;""),"")</f>
        <v/>
      </c>
      <c r="CQ18" s="77" t="str" cm="1">
        <f t="array" aca="1" ref="CQ18" ca="1">IF($CK18&lt;&gt;"",
INDIRECT(""&amp;IF(COLUMN(CD18)&lt;=26,CHAR(COLUMN(CD18)+64),CHAR(INT((COLUMN(CD18)-1)/26)+64)&amp;CHAR(MOD(COLUMN(CD18)-1,26)+65))&amp;$CK18&amp;""),"")</f>
        <v/>
      </c>
      <c r="CR18" s="77" t="str" cm="1">
        <f t="array" aca="1" ref="CR18" ca="1">IF($CK18&lt;&gt;"",
INDIRECT(""&amp;IF(COLUMN(CE18)&lt;=26,CHAR(COLUMN(CE18)+64),CHAR(INT((COLUMN(CE18)-1)/26)+64)&amp;CHAR(MOD(COLUMN(CE18)-1,26)+65))&amp;$CK18&amp;""),"")</f>
        <v/>
      </c>
      <c r="CS18" s="77" t="str" cm="1">
        <f t="array" aca="1" ref="CS18" ca="1">IF($CK18&lt;&gt;"",
INDIRECT(""&amp;IF(COLUMN(CF18)&lt;=26,CHAR(COLUMN(CF18)+64),CHAR(INT((COLUMN(CF18)-1)/26)+64)&amp;CHAR(MOD(COLUMN(CF18)-1,26)+65))&amp;$CK18&amp;""),"")</f>
        <v/>
      </c>
      <c r="CT18" s="77" t="str" cm="1">
        <f t="array" aca="1" ref="CT18" ca="1">IF($CK18&lt;&gt;"",
INDIRECT(""&amp;IF(COLUMN(CG18)&lt;=26,CHAR(COLUMN(CG18)+64),CHAR(INT((COLUMN(CG18)-1)/26)+64)&amp;CHAR(MOD(COLUMN(CG18)-1,26)+65))&amp;$CK18&amp;""),"")</f>
        <v/>
      </c>
      <c r="CU18" s="77" t="str" cm="1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A19" s="58"/>
      <c r="B19" s="59"/>
      <c r="C19" s="92"/>
      <c r="D19" s="92"/>
      <c r="E19" s="92"/>
      <c r="F19" s="92"/>
      <c r="G19" s="102"/>
      <c r="H19" s="58"/>
      <c r="I19" s="59"/>
      <c r="J19" s="92"/>
      <c r="K19" s="92"/>
      <c r="L19" s="92"/>
      <c r="M19" s="92"/>
      <c r="N19" s="102"/>
      <c r="P19" s="58"/>
      <c r="Q19" s="59"/>
      <c r="R19" s="92"/>
      <c r="S19" s="92"/>
      <c r="T19" s="92"/>
      <c r="U19" s="92"/>
      <c r="V19" s="102"/>
      <c r="W19" s="58"/>
      <c r="X19" s="59"/>
      <c r="Y19" s="92"/>
      <c r="Z19" s="92"/>
      <c r="AA19" s="92"/>
      <c r="AB19" s="92"/>
      <c r="AC19" s="102"/>
      <c r="AE19" s="58"/>
      <c r="AF19" s="59"/>
      <c r="AG19" s="92"/>
      <c r="AH19" s="92"/>
      <c r="AI19" s="92"/>
      <c r="AJ19" s="92"/>
      <c r="AK19" s="102"/>
      <c r="AL19" s="58"/>
      <c r="AM19" s="59"/>
      <c r="AN19" s="92"/>
      <c r="AO19" s="92"/>
      <c r="AP19" s="92"/>
      <c r="AQ19" s="92"/>
      <c r="AR19" s="102"/>
      <c r="AT19" s="58"/>
      <c r="AU19" s="59"/>
      <c r="AV19" s="92"/>
      <c r="AW19" s="92"/>
      <c r="AX19" s="92"/>
      <c r="AY19" s="92"/>
      <c r="AZ19" s="102"/>
      <c r="BA19" s="58"/>
      <c r="BB19" s="59"/>
      <c r="BC19" s="92"/>
      <c r="BD19" s="92"/>
      <c r="BE19" s="92"/>
      <c r="BF19" s="92"/>
      <c r="BG19" s="102"/>
      <c r="BI19" s="58"/>
      <c r="BJ19" s="59"/>
      <c r="BK19" s="92"/>
      <c r="BL19" s="92"/>
      <c r="BM19" s="92"/>
      <c r="BN19" s="92"/>
      <c r="BO19" s="102"/>
      <c r="BP19" s="58"/>
      <c r="BQ19" s="59"/>
      <c r="BR19" s="92"/>
      <c r="BS19" s="92"/>
      <c r="BT19" s="92"/>
      <c r="BU19" s="92"/>
      <c r="BV19" s="102"/>
      <c r="BX19">
        <f>BX15+7</f>
        <v>28</v>
      </c>
      <c r="BY19" s="77" t="str" cm="1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77" t="str" cm="1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77" t="str" cm="1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77" t="str" cm="1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77" t="str" cm="1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77" t="str" cm="1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77" t="str" cm="1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77" t="str" cm="1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77" t="str" cm="1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77" t="str" cm="1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77">
        <f t="shared" ca="1" si="0"/>
        <v>0</v>
      </c>
      <c r="CJ19" s="77" t="b" cm="1">
        <f t="array" aca="1" ref="CJ19" ca="1">SUMPRODUCT((LEN(BY19:CH19)&gt;0)*1)&gt;0</f>
        <v>0</v>
      </c>
      <c r="CK19" s="77" t="str">
        <f t="array" aca="1" ref="CK19" ca="1">IFERROR(SMALL(IF(CI$1:CI$100&lt;&gt;0,CI$1:CI$100),ROW(A19)),"")</f>
        <v/>
      </c>
      <c r="CL19" s="77" t="str" cm="1">
        <f t="array" aca="1" ref="CL19" ca="1">IF($CK19&lt;&gt;"",
INDIRECT(""&amp;IF(COLUMN(BY19)&lt;=26,CHAR(COLUMN(BY19)+64),CHAR(INT((COLUMN(BY19)-1)/26)+64)&amp;CHAR(MOD(COLUMN(BY19)-1,26)+65))&amp;$CK19&amp;""),"")</f>
        <v/>
      </c>
      <c r="CM19" s="77" t="str" cm="1">
        <f t="array" aca="1" ref="CM19" ca="1">IF($CK19&lt;&gt;"",
INDIRECT(""&amp;IF(COLUMN(BZ19)&lt;=26,CHAR(COLUMN(BZ19)+64),CHAR(INT((COLUMN(BZ19)-1)/26)+64)&amp;CHAR(MOD(COLUMN(BZ19)-1,26)+65))&amp;$CK19&amp;""),"")</f>
        <v/>
      </c>
      <c r="CN19" s="77" t="str" cm="1">
        <f t="array" aca="1" ref="CN19" ca="1">IF($CK19&lt;&gt;"",
INDIRECT(""&amp;IF(COLUMN(CA19)&lt;=26,CHAR(COLUMN(CA19)+64),CHAR(INT((COLUMN(CA19)-1)/26)+64)&amp;CHAR(MOD(COLUMN(CA19)-1,26)+65))&amp;$CK19&amp;""),"")</f>
        <v/>
      </c>
      <c r="CO19" s="77" t="str" cm="1">
        <f t="array" aca="1" ref="CO19" ca="1">IF($CK19&lt;&gt;"",
INDIRECT(""&amp;IF(COLUMN(CB19)&lt;=26,CHAR(COLUMN(CB19)+64),CHAR(INT((COLUMN(CB19)-1)/26)+64)&amp;CHAR(MOD(COLUMN(CB19)-1,26)+65))&amp;$CK19&amp;""),"")</f>
        <v/>
      </c>
      <c r="CP19" s="77" t="str" cm="1">
        <f t="array" aca="1" ref="CP19" ca="1">IF($CK19&lt;&gt;"",
INDIRECT(""&amp;IF(COLUMN(CC19)&lt;=26,CHAR(COLUMN(CC19)+64),CHAR(INT((COLUMN(CC19)-1)/26)+64)&amp;CHAR(MOD(COLUMN(CC19)-1,26)+65))&amp;$CK19&amp;""),"")</f>
        <v/>
      </c>
      <c r="CQ19" s="77" t="str" cm="1">
        <f t="array" aca="1" ref="CQ19" ca="1">IF($CK19&lt;&gt;"",
INDIRECT(""&amp;IF(COLUMN(CD19)&lt;=26,CHAR(COLUMN(CD19)+64),CHAR(INT((COLUMN(CD19)-1)/26)+64)&amp;CHAR(MOD(COLUMN(CD19)-1,26)+65))&amp;$CK19&amp;""),"")</f>
        <v/>
      </c>
      <c r="CR19" s="77" t="str" cm="1">
        <f t="array" aca="1" ref="CR19" ca="1">IF($CK19&lt;&gt;"",
INDIRECT(""&amp;IF(COLUMN(CE19)&lt;=26,CHAR(COLUMN(CE19)+64),CHAR(INT((COLUMN(CE19)-1)/26)+64)&amp;CHAR(MOD(COLUMN(CE19)-1,26)+65))&amp;$CK19&amp;""),"")</f>
        <v/>
      </c>
      <c r="CS19" s="77" t="str" cm="1">
        <f t="array" aca="1" ref="CS19" ca="1">IF($CK19&lt;&gt;"",
INDIRECT(""&amp;IF(COLUMN(CF19)&lt;=26,CHAR(COLUMN(CF19)+64),CHAR(INT((COLUMN(CF19)-1)/26)+64)&amp;CHAR(MOD(COLUMN(CF19)-1,26)+65))&amp;$CK19&amp;""),"")</f>
        <v/>
      </c>
      <c r="CT19" s="77" t="str" cm="1">
        <f t="array" aca="1" ref="CT19" ca="1">IF($CK19&lt;&gt;"",
INDIRECT(""&amp;IF(COLUMN(CG19)&lt;=26,CHAR(COLUMN(CG19)+64),CHAR(INT((COLUMN(CG19)-1)/26)+64)&amp;CHAR(MOD(COLUMN(CG19)-1,26)+65))&amp;$CK19&amp;""),"")</f>
        <v/>
      </c>
      <c r="CU19" s="77" t="str" cm="1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77" customFormat="1" ht="22.2" x14ac:dyDescent="0.55000000000000004">
      <c r="A20" s="53"/>
      <c r="B20" s="84" t="str">
        <f ca="1">IF(C16&lt;&gt;"",
"パン箱","")</f>
        <v/>
      </c>
      <c r="C20" s="82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84" t="str">
        <f ca="1">IF(C16&lt;&gt;"",
" 端数","")</f>
        <v/>
      </c>
      <c r="E20" s="82"/>
      <c r="F20" s="84" t="str">
        <f ca="1">IF(C16&lt;&gt;"",
"アレルギー","")</f>
        <v/>
      </c>
      <c r="G20" s="101"/>
      <c r="H20" s="53"/>
      <c r="I20" s="84" t="str">
        <f ca="1">IF(J16&lt;&gt;"",
"パン箱","")</f>
        <v/>
      </c>
      <c r="J20" s="82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84" t="str">
        <f ca="1">IF(J16&lt;&gt;"",
" 端数","")</f>
        <v/>
      </c>
      <c r="L20" s="82"/>
      <c r="M20" s="84" t="str">
        <f ca="1">IF(J16&lt;&gt;"",
"アレルギー","")</f>
        <v/>
      </c>
      <c r="N20" s="101"/>
      <c r="O20" s="53"/>
      <c r="P20" s="53"/>
      <c r="Q20" s="84" t="str">
        <f ca="1">IF(R16&lt;&gt;"",
"パン箱","")</f>
        <v/>
      </c>
      <c r="R20" s="82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84" t="str">
        <f ca="1">IF(R16&lt;&gt;"",
" 端数","")</f>
        <v/>
      </c>
      <c r="T20" s="82"/>
      <c r="U20" s="84" t="str">
        <f ca="1">IF(R16&lt;&gt;"",
"アレルギー","")</f>
        <v/>
      </c>
      <c r="V20" s="101"/>
      <c r="W20" s="53"/>
      <c r="X20" s="84" t="str">
        <f ca="1">IF(Y16&lt;&gt;"",
"パン箱","")</f>
        <v/>
      </c>
      <c r="Y20" s="82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84" t="str">
        <f ca="1">IF(Y16&lt;&gt;"",
" 端数","")</f>
        <v/>
      </c>
      <c r="AA20" s="82"/>
      <c r="AB20" s="84" t="str">
        <f ca="1">IF(Y16&lt;&gt;"",
"アレルギー","")</f>
        <v/>
      </c>
      <c r="AC20" s="101"/>
      <c r="AD20" s="53"/>
      <c r="AE20" s="53"/>
      <c r="AF20" s="84" t="str">
        <f ca="1">IF(AG16&lt;&gt;"",
"パン箱","")</f>
        <v/>
      </c>
      <c r="AG20" s="82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84" t="str">
        <f ca="1">IF(AG16&lt;&gt;"",
" 端数","")</f>
        <v/>
      </c>
      <c r="AI20" s="82"/>
      <c r="AJ20" s="84" t="str">
        <f ca="1">IF(AG16&lt;&gt;"",
"アレルギー","")</f>
        <v/>
      </c>
      <c r="AK20" s="101"/>
      <c r="AL20" s="53"/>
      <c r="AM20" s="84" t="str">
        <f ca="1">IF(AN16&lt;&gt;"",
"パン箱","")</f>
        <v/>
      </c>
      <c r="AN20" s="82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84" t="str">
        <f ca="1">IF(AN16&lt;&gt;"",
" 端数","")</f>
        <v/>
      </c>
      <c r="AP20" s="82"/>
      <c r="AQ20" s="84" t="str">
        <f ca="1">IF(AN16&lt;&gt;"",
"アレルギー","")</f>
        <v/>
      </c>
      <c r="AR20" s="101"/>
      <c r="AS20" s="53"/>
      <c r="AT20" s="53"/>
      <c r="AU20" s="84" t="str">
        <f ca="1">IF(AV16&lt;&gt;"",
"パン箱","")</f>
        <v/>
      </c>
      <c r="AV20" s="82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84" t="str">
        <f ca="1">IF(AV16&lt;&gt;"",
" 端数","")</f>
        <v/>
      </c>
      <c r="AX20" s="82"/>
      <c r="AY20" s="84" t="str">
        <f ca="1">IF(AV16&lt;&gt;"",
"アレルギー","")</f>
        <v/>
      </c>
      <c r="AZ20" s="101"/>
      <c r="BA20" s="53"/>
      <c r="BB20" s="84" t="str">
        <f ca="1">IF(BC16&lt;&gt;"",
"パン箱","")</f>
        <v/>
      </c>
      <c r="BC20" s="82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84" t="str">
        <f ca="1">IF(BC16&lt;&gt;"",
" 端数","")</f>
        <v/>
      </c>
      <c r="BE20" s="82"/>
      <c r="BF20" s="84" t="str">
        <f ca="1">IF(BC16&lt;&gt;"",
"アレルギー","")</f>
        <v/>
      </c>
      <c r="BG20" s="101"/>
      <c r="BH20" s="53"/>
      <c r="BI20" s="53"/>
      <c r="BJ20" s="84" t="str">
        <f ca="1">IF(BK16&lt;&gt;"",
"パン箱","")</f>
        <v/>
      </c>
      <c r="BK20" s="82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84" t="str">
        <f ca="1">IF(BK16&lt;&gt;"",
" 端数","")</f>
        <v/>
      </c>
      <c r="BM20" s="82"/>
      <c r="BN20" s="84" t="str">
        <f ca="1">IF(BK16&lt;&gt;"",
"アレルギー","")</f>
        <v/>
      </c>
      <c r="BO20" s="101"/>
      <c r="BP20" s="53"/>
      <c r="BQ20" s="84" t="str">
        <f ca="1">IF(BR16&lt;&gt;"",
"パン箱","")</f>
        <v/>
      </c>
      <c r="BR20" s="82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84" t="str">
        <f ca="1">IF(BR16&lt;&gt;"",
" 端数","")</f>
        <v/>
      </c>
      <c r="BT20" s="82"/>
      <c r="BU20" s="84" t="str">
        <f ca="1">IF(BR16&lt;&gt;"",
"アレルギー","")</f>
        <v/>
      </c>
      <c r="BV20" s="101"/>
      <c r="BW20" s="53"/>
      <c r="BX20" s="77">
        <f>BX16+7</f>
        <v>70</v>
      </c>
      <c r="BY20" s="77" t="str" cm="1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77" t="str" cm="1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77" t="str" cm="1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77" t="str" cm="1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77" t="str" cm="1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77" t="str" cm="1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77" t="str" cm="1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77" t="str" cm="1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77" t="str" cm="1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77" t="str" cm="1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77">
        <f t="shared" ca="1" si="0"/>
        <v>0</v>
      </c>
      <c r="CJ20" s="77" t="b" cm="1">
        <f t="array" aca="1" ref="CJ20" ca="1">SUMPRODUCT((LEN(BY20:CH20)&gt;0)*1)&gt;0</f>
        <v>0</v>
      </c>
      <c r="CK20" s="77" t="str">
        <f t="array" aca="1" ref="CK20" ca="1">IFERROR(SMALL(IF(CI$1:CI$100&lt;&gt;0,CI$1:CI$100),ROW(A20)),"")</f>
        <v/>
      </c>
      <c r="CL20" s="77" t="str" cm="1">
        <f t="array" aca="1" ref="CL20" ca="1">IF($CK20&lt;&gt;"",
INDIRECT(""&amp;IF(COLUMN(BY20)&lt;=26,CHAR(COLUMN(BY20)+64),CHAR(INT((COLUMN(BY20)-1)/26)+64)&amp;CHAR(MOD(COLUMN(BY20)-1,26)+65))&amp;$CK20&amp;""),"")</f>
        <v/>
      </c>
      <c r="CM20" s="77" t="str" cm="1">
        <f t="array" aca="1" ref="CM20" ca="1">IF($CK20&lt;&gt;"",
INDIRECT(""&amp;IF(COLUMN(BZ20)&lt;=26,CHAR(COLUMN(BZ20)+64),CHAR(INT((COLUMN(BZ20)-1)/26)+64)&amp;CHAR(MOD(COLUMN(BZ20)-1,26)+65))&amp;$CK20&amp;""),"")</f>
        <v/>
      </c>
      <c r="CN20" s="77" t="str" cm="1">
        <f t="array" aca="1" ref="CN20" ca="1">IF($CK20&lt;&gt;"",
INDIRECT(""&amp;IF(COLUMN(CA20)&lt;=26,CHAR(COLUMN(CA20)+64),CHAR(INT((COLUMN(CA20)-1)/26)+64)&amp;CHAR(MOD(COLUMN(CA20)-1,26)+65))&amp;$CK20&amp;""),"")</f>
        <v/>
      </c>
      <c r="CO20" s="77" t="str" cm="1">
        <f t="array" aca="1" ref="CO20" ca="1">IF($CK20&lt;&gt;"",
INDIRECT(""&amp;IF(COLUMN(CB20)&lt;=26,CHAR(COLUMN(CB20)+64),CHAR(INT((COLUMN(CB20)-1)/26)+64)&amp;CHAR(MOD(COLUMN(CB20)-1,26)+65))&amp;$CK20&amp;""),"")</f>
        <v/>
      </c>
      <c r="CP20" s="77" t="str" cm="1">
        <f t="array" aca="1" ref="CP20" ca="1">IF($CK20&lt;&gt;"",
INDIRECT(""&amp;IF(COLUMN(CC20)&lt;=26,CHAR(COLUMN(CC20)+64),CHAR(INT((COLUMN(CC20)-1)/26)+64)&amp;CHAR(MOD(COLUMN(CC20)-1,26)+65))&amp;$CK20&amp;""),"")</f>
        <v/>
      </c>
      <c r="CQ20" s="77" t="str" cm="1">
        <f t="array" aca="1" ref="CQ20" ca="1">IF($CK20&lt;&gt;"",
INDIRECT(""&amp;IF(COLUMN(CD20)&lt;=26,CHAR(COLUMN(CD20)+64),CHAR(INT((COLUMN(CD20)-1)/26)+64)&amp;CHAR(MOD(COLUMN(CD20)-1,26)+65))&amp;$CK20&amp;""),"")</f>
        <v/>
      </c>
      <c r="CR20" s="77" t="str" cm="1">
        <f t="array" aca="1" ref="CR20" ca="1">IF($CK20&lt;&gt;"",
INDIRECT(""&amp;IF(COLUMN(CE20)&lt;=26,CHAR(COLUMN(CE20)+64),CHAR(INT((COLUMN(CE20)-1)/26)+64)&amp;CHAR(MOD(COLUMN(CE20)-1,26)+65))&amp;$CK20&amp;""),"")</f>
        <v/>
      </c>
      <c r="CS20" s="77" t="str" cm="1">
        <f t="array" aca="1" ref="CS20" ca="1">IF($CK20&lt;&gt;"",
INDIRECT(""&amp;IF(COLUMN(CF20)&lt;=26,CHAR(COLUMN(CF20)+64),CHAR(INT((COLUMN(CF20)-1)/26)+64)&amp;CHAR(MOD(COLUMN(CF20)-1,26)+65))&amp;$CK20&amp;""),"")</f>
        <v/>
      </c>
      <c r="CT20" s="77" t="str" cm="1">
        <f t="array" aca="1" ref="CT20" ca="1">IF($CK20&lt;&gt;"",
INDIRECT(""&amp;IF(COLUMN(CG20)&lt;=26,CHAR(COLUMN(CG20)+64),CHAR(INT((COLUMN(CG20)-1)/26)+64)&amp;CHAR(MOD(COLUMN(CG20)-1,26)+65))&amp;$CK20&amp;""),"")</f>
        <v/>
      </c>
      <c r="CU20" s="77" t="str" cm="1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97" t="str">
        <f ca="1">IF(C18&lt;&gt;"",
IFERROR(INT(C18/C20),""),"")</f>
        <v/>
      </c>
      <c r="C21" s="95"/>
      <c r="D21" s="97" t="str">
        <f ca="1">IFERROR(MOD(C18,C20),"")</f>
        <v/>
      </c>
      <c r="E21" s="95"/>
      <c r="F21" s="94" t="str">
        <f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"")="",0,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95"/>
      <c r="I21" s="97" t="str">
        <f ca="1">IF(J18&lt;&gt;"",
IFERROR(INT(J18/J20),""),"")</f>
        <v/>
      </c>
      <c r="J21" s="95"/>
      <c r="K21" s="97" t="str">
        <f ca="1">IFERROR(MOD(J18,J20),"")</f>
        <v/>
      </c>
      <c r="L21" s="95"/>
      <c r="M21" s="94" t="str">
        <f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"")="",0,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95"/>
      <c r="Q21" s="97" t="str">
        <f ca="1">IF(R18&lt;&gt;"",
IFERROR(INT(R18/R20),""),"")</f>
        <v/>
      </c>
      <c r="R21" s="95"/>
      <c r="S21" s="97" t="str">
        <f ca="1">IFERROR(MOD(R18,R20),"")</f>
        <v/>
      </c>
      <c r="T21" s="95"/>
      <c r="U21" s="94" t="str">
        <f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"")="",0,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95"/>
      <c r="X21" s="97" t="str">
        <f ca="1">IF(Y18&lt;&gt;"",
IFERROR(INT(Y18/Y20),""),"")</f>
        <v/>
      </c>
      <c r="Y21" s="95"/>
      <c r="Z21" s="97" t="str">
        <f ca="1">IFERROR(MOD(Y18,Y20),"")</f>
        <v/>
      </c>
      <c r="AA21" s="95"/>
      <c r="AB21" s="94" t="str">
        <f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"")="",0,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95"/>
      <c r="AF21" s="97" t="str">
        <f ca="1">IF(AG18&lt;&gt;"",
IFERROR(INT(AG18/AG20),""),"")</f>
        <v/>
      </c>
      <c r="AG21" s="95"/>
      <c r="AH21" s="97" t="str">
        <f ca="1">IFERROR(MOD(AG18,AG20),"")</f>
        <v/>
      </c>
      <c r="AI21" s="95"/>
      <c r="AJ21" s="94" t="str">
        <f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"")="",0,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95"/>
      <c r="AM21" s="97" t="str">
        <f ca="1">IF(AN18&lt;&gt;"",
IFERROR(INT(AN18/AN20),""),"")</f>
        <v/>
      </c>
      <c r="AN21" s="95"/>
      <c r="AO21" s="97" t="str">
        <f ca="1">IFERROR(MOD(AN18,AN20),"")</f>
        <v/>
      </c>
      <c r="AP21" s="95"/>
      <c r="AQ21" s="94" t="str">
        <f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"")="",0,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95"/>
      <c r="AU21" s="97" t="str">
        <f ca="1">IF(AV18&lt;&gt;"",
IFERROR(INT(AV18/AV20),""),"")</f>
        <v/>
      </c>
      <c r="AV21" s="95"/>
      <c r="AW21" s="97" t="str">
        <f ca="1">IFERROR(MOD(AV18,AV20),"")</f>
        <v/>
      </c>
      <c r="AX21" s="95"/>
      <c r="AY21" s="94" t="str">
        <f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"")="",0,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95"/>
      <c r="BB21" s="97" t="str">
        <f ca="1">IF(BC18&lt;&gt;"",
IFERROR(INT(BC18/BC20),""),"")</f>
        <v/>
      </c>
      <c r="BC21" s="95"/>
      <c r="BD21" s="97" t="str">
        <f ca="1">IFERROR(MOD(BC18,BC20),"")</f>
        <v/>
      </c>
      <c r="BE21" s="95"/>
      <c r="BF21" s="94" t="str">
        <f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"")="",0,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95"/>
      <c r="BJ21" s="97" t="str">
        <f ca="1">IF(BK18&lt;&gt;"",
IFERROR(INT(BK18/BK20),""),"")</f>
        <v/>
      </c>
      <c r="BK21" s="95"/>
      <c r="BL21" s="97" t="str">
        <f ca="1">IFERROR(MOD(BK18,BK20),"")</f>
        <v/>
      </c>
      <c r="BM21" s="95"/>
      <c r="BN21" s="94" t="str">
        <f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"")="",0,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95"/>
      <c r="BQ21" s="97" t="str">
        <f ca="1">IF(BR18&lt;&gt;"",
IFERROR(INT(BR18/BR20),""),"")</f>
        <v/>
      </c>
      <c r="BR21" s="95"/>
      <c r="BS21" s="97" t="str">
        <f ca="1">IFERROR(MOD(BR18,BR20),"")</f>
        <v/>
      </c>
      <c r="BT21" s="95"/>
      <c r="BU21" s="94" t="str">
        <f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"")="",0,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95"/>
      <c r="BX21" s="77">
        <f>BX17+7</f>
        <v>35</v>
      </c>
      <c r="BY21" s="77" t="str" cm="1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77" t="str" cm="1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77" t="str" cm="1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77" t="str" cm="1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77" t="str" cm="1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77" t="str" cm="1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77" t="str" cm="1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77" t="str" cm="1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77" t="str" cm="1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77" t="str" cm="1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77">
        <f t="shared" ca="1" si="0"/>
        <v>0</v>
      </c>
      <c r="CJ21" s="77" t="b" cm="1">
        <f t="array" aca="1" ref="CJ21" ca="1">SUMPRODUCT((LEN(BY21:CH21)&gt;0)*1)&gt;0</f>
        <v>0</v>
      </c>
      <c r="CK21" s="77" t="str">
        <f t="array" aca="1" ref="CK21" ca="1">IFERROR(SMALL(IF(CI$1:CI$100&lt;&gt;0,CI$1:CI$100),ROW(A21)),"")</f>
        <v/>
      </c>
      <c r="CL21" s="77" t="str" cm="1">
        <f t="array" aca="1" ref="CL21" ca="1">IF($CK21&lt;&gt;"",
INDIRECT(""&amp;IF(COLUMN(BY21)&lt;=26,CHAR(COLUMN(BY21)+64),CHAR(INT((COLUMN(BY21)-1)/26)+64)&amp;CHAR(MOD(COLUMN(BY21)-1,26)+65))&amp;$CK21&amp;""),"")</f>
        <v/>
      </c>
      <c r="CM21" s="77" t="str" cm="1">
        <f t="array" aca="1" ref="CM21" ca="1">IF($CK21&lt;&gt;"",
INDIRECT(""&amp;IF(COLUMN(BZ21)&lt;=26,CHAR(COLUMN(BZ21)+64),CHAR(INT((COLUMN(BZ21)-1)/26)+64)&amp;CHAR(MOD(COLUMN(BZ21)-1,26)+65))&amp;$CK21&amp;""),"")</f>
        <v/>
      </c>
      <c r="CN21" s="77" t="str" cm="1">
        <f t="array" aca="1" ref="CN21" ca="1">IF($CK21&lt;&gt;"",
INDIRECT(""&amp;IF(COLUMN(CA21)&lt;=26,CHAR(COLUMN(CA21)+64),CHAR(INT((COLUMN(CA21)-1)/26)+64)&amp;CHAR(MOD(COLUMN(CA21)-1,26)+65))&amp;$CK21&amp;""),"")</f>
        <v/>
      </c>
      <c r="CO21" s="77" t="str" cm="1">
        <f t="array" aca="1" ref="CO21" ca="1">IF($CK21&lt;&gt;"",
INDIRECT(""&amp;IF(COLUMN(CB21)&lt;=26,CHAR(COLUMN(CB21)+64),CHAR(INT((COLUMN(CB21)-1)/26)+64)&amp;CHAR(MOD(COLUMN(CB21)-1,26)+65))&amp;$CK21&amp;""),"")</f>
        <v/>
      </c>
      <c r="CP21" s="77" t="str" cm="1">
        <f t="array" aca="1" ref="CP21" ca="1">IF($CK21&lt;&gt;"",
INDIRECT(""&amp;IF(COLUMN(CC21)&lt;=26,CHAR(COLUMN(CC21)+64),CHAR(INT((COLUMN(CC21)-1)/26)+64)&amp;CHAR(MOD(COLUMN(CC21)-1,26)+65))&amp;$CK21&amp;""),"")</f>
        <v/>
      </c>
      <c r="CQ21" s="77" t="str" cm="1">
        <f t="array" aca="1" ref="CQ21" ca="1">IF($CK21&lt;&gt;"",
INDIRECT(""&amp;IF(COLUMN(CD21)&lt;=26,CHAR(COLUMN(CD21)+64),CHAR(INT((COLUMN(CD21)-1)/26)+64)&amp;CHAR(MOD(COLUMN(CD21)-1,26)+65))&amp;$CK21&amp;""),"")</f>
        <v/>
      </c>
      <c r="CR21" s="77" t="str" cm="1">
        <f t="array" aca="1" ref="CR21" ca="1">IF($CK21&lt;&gt;"",
INDIRECT(""&amp;IF(COLUMN(CE21)&lt;=26,CHAR(COLUMN(CE21)+64),CHAR(INT((COLUMN(CE21)-1)/26)+64)&amp;CHAR(MOD(COLUMN(CE21)-1,26)+65))&amp;$CK21&amp;""),"")</f>
        <v/>
      </c>
      <c r="CS21" s="77" t="str" cm="1">
        <f t="array" aca="1" ref="CS21" ca="1">IF($CK21&lt;&gt;"",
INDIRECT(""&amp;IF(COLUMN(CF21)&lt;=26,CHAR(COLUMN(CF21)+64),CHAR(INT((COLUMN(CF21)-1)/26)+64)&amp;CHAR(MOD(COLUMN(CF21)-1,26)+65))&amp;$CK21&amp;""),"")</f>
        <v/>
      </c>
      <c r="CT21" s="77" t="str" cm="1">
        <f t="array" aca="1" ref="CT21" ca="1">IF($CK21&lt;&gt;"",
INDIRECT(""&amp;IF(COLUMN(CG21)&lt;=26,CHAR(COLUMN(CG21)+64),CHAR(INT((COLUMN(CG21)-1)/26)+64)&amp;CHAR(MOD(COLUMN(CG21)-1,26)+65))&amp;$CK21&amp;""),"")</f>
        <v/>
      </c>
      <c r="CU21" s="77" t="str" cm="1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77" customFormat="1" ht="18" customHeight="1" x14ac:dyDescent="0.55000000000000004">
      <c r="A22" s="75" t="e">
        <f t="array" aca="1" ref="A22" ca="1">IF(LEFT(N15,2)="博多",
IF(LEFT(INDIRECT("数出表_Excel!A"&amp;I15+2),2)="博多",
IF(LEFT(INDIRECT("数出表_Excel!A"&amp;I15+4),2)="博多",
I15+6,
I15+4),
I15+2),
IF(LEFT(N15,3)="奈良屋",
IF(LEFT(INDIRECT("数出表_Excel!A"&amp;I15+2),3)="奈良屋",
IF(LEFT(INDIRECT("数出表_Excel!A"&amp;I15+4),3)="奈良屋",
I15+6,
I15+4),
I15+2),
I15+2))</f>
        <v>#VALUE!</v>
      </c>
      <c r="B22" s="76" t="e">
        <f t="array" aca="1" ref="B22" ca="1">GetResult(A22)</f>
        <v>#VALUE!</v>
      </c>
      <c r="C22" s="88" t="str">
        <f ca="1">IF(C23&lt;&gt;"",
IF(LEFT(G22,2)="博多",
LEFT(G22,FIND("週",G22)-1),
G22),"")</f>
        <v/>
      </c>
      <c r="D22" s="89"/>
      <c r="E22" s="89"/>
      <c r="F22" s="89"/>
      <c r="G22" s="105" t="e" cm="1">
        <f t="array" aca="1" ref="G22" ca="1">INDIRECT("数出表_Excel!A"&amp;B22)</f>
        <v>#VALUE!</v>
      </c>
      <c r="H22" s="75" t="e">
        <f t="array" aca="1" ref="H22" ca="1">IF(LEFT(G22,2)="博多",
IF(LEFT(INDIRECT("数出表_Excel!A"&amp;B22+2),2)="博多",
IF(LEFT(INDIRECT("数出表_Excel!A"&amp;B22+4),2)="博多",
B22+6,
B22+4),
B22+2),
IF(LEFT(G22,3)="奈良屋",
IF(LEFT(INDIRECT("数出表_Excel!A"&amp;B22+2),3)="奈良屋",
IF(LEFT(INDIRECT("数出表_Excel!A"&amp;B22+4),3)="奈良屋",
B22+6,
B22+4),
B22+2),
B22+2))</f>
        <v>#VALUE!</v>
      </c>
      <c r="I22" s="76" t="e">
        <f t="array" aca="1" ref="I22" ca="1">GetResult(H22)</f>
        <v>#VALUE!</v>
      </c>
      <c r="J22" s="88" t="str">
        <f ca="1">IF(J23&lt;&gt;"",
IF(LEFT(N22,2)="博多",
LEFT(N22,FIND("週",N22)-1),
N22),"")</f>
        <v/>
      </c>
      <c r="K22" s="89"/>
      <c r="L22" s="89"/>
      <c r="M22" s="89"/>
      <c r="N22" s="105" t="e" cm="1">
        <f t="array" aca="1" ref="N22" ca="1">INDIRECT("数出表_Excel!A"&amp;I22)</f>
        <v>#VALUE!</v>
      </c>
      <c r="O22" s="53"/>
      <c r="P22" s="75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76" t="e">
        <f t="array" aca="1" ref="Q22" ca="1">GetResult(P22)</f>
        <v>#VALUE!</v>
      </c>
      <c r="R22" s="88" t="str">
        <f ca="1">IF(R23&lt;&gt;"",
IF(LEFT(V22,2)="博多",
LEFT(V22,FIND("週",V22)-1),
V22),"")</f>
        <v/>
      </c>
      <c r="S22" s="89"/>
      <c r="T22" s="89"/>
      <c r="U22" s="89"/>
      <c r="V22" s="105" t="e" cm="1">
        <f t="array" aca="1" ref="V22" ca="1">INDIRECT("数出表_Excel!A"&amp;Q22)</f>
        <v>#VALUE!</v>
      </c>
      <c r="W22" s="75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76" t="e">
        <f t="array" aca="1" ref="X22" ca="1">GetResult(W22)</f>
        <v>#VALUE!</v>
      </c>
      <c r="Y22" s="88" t="str">
        <f ca="1">IF(Y23&lt;&gt;"",
IF(LEFT(AC22,2)="博多",
LEFT(AC22,FIND("週",AC22)-1),
AC22),"")</f>
        <v/>
      </c>
      <c r="Z22" s="89"/>
      <c r="AA22" s="89"/>
      <c r="AB22" s="89"/>
      <c r="AC22" s="105" t="e" cm="1">
        <f t="array" aca="1" ref="AC22" ca="1">INDIRECT("数出表_Excel!A"&amp;X22)</f>
        <v>#VALUE!</v>
      </c>
      <c r="AD22" s="53"/>
      <c r="AE22" s="75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76" t="e">
        <f t="array" aca="1" ref="AF22" ca="1">GetResult(AE22)</f>
        <v>#VALUE!</v>
      </c>
      <c r="AG22" s="88" t="str">
        <f ca="1">IF(AG23&lt;&gt;"",
IF(LEFT(AK22,2)="博多",
LEFT(AK22,FIND("週",AK22)-1),
AK22),"")</f>
        <v/>
      </c>
      <c r="AH22" s="89"/>
      <c r="AI22" s="89"/>
      <c r="AJ22" s="89"/>
      <c r="AK22" s="105" t="e" cm="1">
        <f t="array" aca="1" ref="AK22" ca="1">INDIRECT("数出表_Excel!A"&amp;AF22)</f>
        <v>#VALUE!</v>
      </c>
      <c r="AL22" s="75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76" t="e">
        <f t="array" aca="1" ref="AM22" ca="1">GetResult(AL22)</f>
        <v>#VALUE!</v>
      </c>
      <c r="AN22" s="88" t="str">
        <f ca="1">IF(AN23&lt;&gt;"",
IF(LEFT(AR22,2)="博多",
LEFT(AR22,FIND("週",AR22)-1),
AR22),"")</f>
        <v/>
      </c>
      <c r="AO22" s="89"/>
      <c r="AP22" s="89"/>
      <c r="AQ22" s="89"/>
      <c r="AR22" s="105" t="e" cm="1">
        <f t="array" aca="1" ref="AR22" ca="1">INDIRECT("数出表_Excel!A"&amp;AM22)</f>
        <v>#VALUE!</v>
      </c>
      <c r="AS22" s="53"/>
      <c r="AT22" s="75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76" t="e">
        <f t="array" aca="1" ref="AU22" ca="1">GetResult(AT22)</f>
        <v>#VALUE!</v>
      </c>
      <c r="AV22" s="88" t="str">
        <f ca="1">IF(AV23&lt;&gt;"",
IF(LEFT(AZ22,2)="博多",
LEFT(AZ22,FIND("週",AZ22)-1),
AZ22),"")</f>
        <v/>
      </c>
      <c r="AW22" s="89"/>
      <c r="AX22" s="89"/>
      <c r="AY22" s="89"/>
      <c r="AZ22" s="105" t="e" cm="1">
        <f t="array" aca="1" ref="AZ22" ca="1">INDIRECT("数出表_Excel!A"&amp;AU22)</f>
        <v>#VALUE!</v>
      </c>
      <c r="BA22" s="75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76" t="e">
        <f t="array" aca="1" ref="BB22" ca="1">GetResult(BA22)</f>
        <v>#VALUE!</v>
      </c>
      <c r="BC22" s="88" t="str">
        <f ca="1">IF(BC23&lt;&gt;"",
IF(LEFT(BG22,2)="博多",
LEFT(BG22,FIND("週",BG22)-1),
BG22),"")</f>
        <v/>
      </c>
      <c r="BD22" s="89"/>
      <c r="BE22" s="89"/>
      <c r="BF22" s="89"/>
      <c r="BG22" s="105" t="e" cm="1">
        <f t="array" aca="1" ref="BG22" ca="1">INDIRECT("数出表_Excel!A"&amp;BB22)</f>
        <v>#VALUE!</v>
      </c>
      <c r="BH22" s="53"/>
      <c r="BI22" s="75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76" t="e">
        <f t="array" aca="1" ref="BJ22" ca="1">GetResult(BI22)</f>
        <v>#VALUE!</v>
      </c>
      <c r="BK22" s="88" t="str">
        <f ca="1">IF(BK23&lt;&gt;"",
IF(LEFT(BO22,2)="博多",
LEFT(BO22,FIND("週",BO22)-1),
BO22),"")</f>
        <v/>
      </c>
      <c r="BL22" s="89"/>
      <c r="BM22" s="89"/>
      <c r="BN22" s="89"/>
      <c r="BO22" s="105" t="e" cm="1">
        <f t="array" aca="1" ref="BO22" ca="1">INDIRECT("数出表_Excel!A"&amp;BJ22)</f>
        <v>#VALUE!</v>
      </c>
      <c r="BP22" s="75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76" t="e">
        <f t="array" aca="1" ref="BQ22" ca="1">GetResult(BP22)</f>
        <v>#VALUE!</v>
      </c>
      <c r="BR22" s="88" t="str">
        <f ca="1">IF(BR23&lt;&gt;"",
IF(LEFT(BV22,2)="博多",
LEFT(BV22,FIND("週",BV22)-1),
BV22),"")</f>
        <v/>
      </c>
      <c r="BS22" s="89"/>
      <c r="BT22" s="89"/>
      <c r="BU22" s="89"/>
      <c r="BV22" s="105" t="e" cm="1">
        <f t="array" aca="1" ref="BV22" ca="1">INDIRECT("数出表_Excel!A"&amp;BQ22)</f>
        <v>#VALUE!</v>
      </c>
      <c r="BW22" s="53"/>
      <c r="BX22" s="77">
        <f>BX18+7</f>
        <v>77</v>
      </c>
      <c r="BY22" s="77" t="str" cm="1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77" t="str" cm="1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77" t="str" cm="1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77" t="str" cm="1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77" t="str" cm="1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77" t="str" cm="1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77" t="str" cm="1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77" t="str" cm="1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77" t="str" cm="1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77" t="str" cm="1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77">
        <f t="shared" ca="1" si="0"/>
        <v>0</v>
      </c>
      <c r="CJ22" s="77" t="b" cm="1">
        <f t="array" aca="1" ref="CJ22" ca="1">SUMPRODUCT((LEN(BY22:CH22)&gt;0)*1)&gt;0</f>
        <v>0</v>
      </c>
      <c r="CK22" s="77" t="str">
        <f t="array" aca="1" ref="CK22" ca="1">IFERROR(SMALL(IF(CI$1:CI$100&lt;&gt;0,CI$1:CI$100),ROW(A22)),"")</f>
        <v/>
      </c>
      <c r="CL22" s="77" t="str" cm="1">
        <f t="array" aca="1" ref="CL22" ca="1">IF($CK22&lt;&gt;"",
INDIRECT(""&amp;IF(COLUMN(BY22)&lt;=26,CHAR(COLUMN(BY22)+64),CHAR(INT((COLUMN(BY22)-1)/26)+64)&amp;CHAR(MOD(COLUMN(BY22)-1,26)+65))&amp;$CK22&amp;""),"")</f>
        <v/>
      </c>
      <c r="CM22" s="77" t="str" cm="1">
        <f t="array" aca="1" ref="CM22" ca="1">IF($CK22&lt;&gt;"",
INDIRECT(""&amp;IF(COLUMN(BZ22)&lt;=26,CHAR(COLUMN(BZ22)+64),CHAR(INT((COLUMN(BZ22)-1)/26)+64)&amp;CHAR(MOD(COLUMN(BZ22)-1,26)+65))&amp;$CK22&amp;""),"")</f>
        <v/>
      </c>
      <c r="CN22" s="77" t="str" cm="1">
        <f t="array" aca="1" ref="CN22" ca="1">IF($CK22&lt;&gt;"",
INDIRECT(""&amp;IF(COLUMN(CA22)&lt;=26,CHAR(COLUMN(CA22)+64),CHAR(INT((COLUMN(CA22)-1)/26)+64)&amp;CHAR(MOD(COLUMN(CA22)-1,26)+65))&amp;$CK22&amp;""),"")</f>
        <v/>
      </c>
      <c r="CO22" s="77" t="str" cm="1">
        <f t="array" aca="1" ref="CO22" ca="1">IF($CK22&lt;&gt;"",
INDIRECT(""&amp;IF(COLUMN(CB22)&lt;=26,CHAR(COLUMN(CB22)+64),CHAR(INT((COLUMN(CB22)-1)/26)+64)&amp;CHAR(MOD(COLUMN(CB22)-1,26)+65))&amp;$CK22&amp;""),"")</f>
        <v/>
      </c>
      <c r="CP22" s="77" t="str" cm="1">
        <f t="array" aca="1" ref="CP22" ca="1">IF($CK22&lt;&gt;"",
INDIRECT(""&amp;IF(COLUMN(CC22)&lt;=26,CHAR(COLUMN(CC22)+64),CHAR(INT((COLUMN(CC22)-1)/26)+64)&amp;CHAR(MOD(COLUMN(CC22)-1,26)+65))&amp;$CK22&amp;""),"")</f>
        <v/>
      </c>
      <c r="CQ22" s="77" t="str" cm="1">
        <f t="array" aca="1" ref="CQ22" ca="1">IF($CK22&lt;&gt;"",
INDIRECT(""&amp;IF(COLUMN(CD22)&lt;=26,CHAR(COLUMN(CD22)+64),CHAR(INT((COLUMN(CD22)-1)/26)+64)&amp;CHAR(MOD(COLUMN(CD22)-1,26)+65))&amp;$CK22&amp;""),"")</f>
        <v/>
      </c>
      <c r="CR22" s="77" t="str" cm="1">
        <f t="array" aca="1" ref="CR22" ca="1">IF($CK22&lt;&gt;"",
INDIRECT(""&amp;IF(COLUMN(CE22)&lt;=26,CHAR(COLUMN(CE22)+64),CHAR(INT((COLUMN(CE22)-1)/26)+64)&amp;CHAR(MOD(COLUMN(CE22)-1,26)+65))&amp;$CK22&amp;""),"")</f>
        <v/>
      </c>
      <c r="CS22" s="77" t="str" cm="1">
        <f t="array" aca="1" ref="CS22" ca="1">IF($CK22&lt;&gt;"",
INDIRECT(""&amp;IF(COLUMN(CF22)&lt;=26,CHAR(COLUMN(CF22)+64),CHAR(INT((COLUMN(CF22)-1)/26)+64)&amp;CHAR(MOD(COLUMN(CF22)-1,26)+65))&amp;$CK22&amp;""),"")</f>
        <v/>
      </c>
      <c r="CT22" s="77" t="str" cm="1">
        <f t="array" aca="1" ref="CT22" ca="1">IF($CK22&lt;&gt;"",
INDIRECT(""&amp;IF(COLUMN(CG22)&lt;=26,CHAR(COLUMN(CG22)+64),CHAR(INT((COLUMN(CG22)-1)/26)+64)&amp;CHAR(MOD(COLUMN(CG22)-1,26)+65))&amp;$CK22&amp;""),"")</f>
        <v/>
      </c>
      <c r="CU22" s="77" t="str" cm="1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77" customFormat="1" ht="18" customHeight="1" x14ac:dyDescent="0.55000000000000004">
      <c r="A23" s="75"/>
      <c r="B23" s="7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9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53"/>
      <c r="E23" s="108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8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00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75"/>
      <c r="I23" s="7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9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53"/>
      <c r="L23" s="108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80" t="str" cm="1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00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53"/>
      <c r="P23" s="75"/>
      <c r="Q23" s="7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9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53"/>
      <c r="T23" s="108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8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0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75"/>
      <c r="X23" s="7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9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53"/>
      <c r="AA23" s="108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8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00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53"/>
      <c r="AE23" s="75"/>
      <c r="AF23" s="7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9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53"/>
      <c r="AI23" s="108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8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0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75"/>
      <c r="AM23" s="7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9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53"/>
      <c r="AP23" s="108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8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00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53"/>
      <c r="AT23" s="75"/>
      <c r="AU23" s="7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9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53"/>
      <c r="AX23" s="108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8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0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75"/>
      <c r="BB23" s="7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9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53"/>
      <c r="BE23" s="108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8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00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53"/>
      <c r="BI23" s="75"/>
      <c r="BJ23" s="7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9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53"/>
      <c r="BM23" s="108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8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0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75"/>
      <c r="BQ23" s="7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9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53"/>
      <c r="BT23" s="108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8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00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53"/>
      <c r="BX23">
        <f>BX19+7</f>
        <v>35</v>
      </c>
      <c r="BY23" s="77" t="str" cm="1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77" t="str" cm="1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77" t="str" cm="1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77" t="str" cm="1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77" t="str" cm="1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77" t="str" cm="1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77" t="str" cm="1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77" t="str" cm="1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77" t="str" cm="1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77" t="str" cm="1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77">
        <f t="shared" ca="1" si="0"/>
        <v>0</v>
      </c>
      <c r="CJ23" s="77" t="b" cm="1">
        <f t="array" aca="1" ref="CJ23" ca="1">SUMPRODUCT((LEN(BY23:CH23)&gt;0)*1)&gt;0</f>
        <v>0</v>
      </c>
      <c r="CK23" s="77" t="str">
        <f t="array" aca="1" ref="CK23" ca="1">IFERROR(SMALL(IF(CI$1:CI$100&lt;&gt;0,CI$1:CI$100),ROW(A23)),"")</f>
        <v/>
      </c>
      <c r="CL23" s="77" t="str" cm="1">
        <f t="array" aca="1" ref="CL23" ca="1">IF($CK23&lt;&gt;"",
INDIRECT(""&amp;IF(COLUMN(BY23)&lt;=26,CHAR(COLUMN(BY23)+64),CHAR(INT((COLUMN(BY23)-1)/26)+64)&amp;CHAR(MOD(COLUMN(BY23)-1,26)+65))&amp;$CK23&amp;""),"")</f>
        <v/>
      </c>
      <c r="CM23" s="77" t="str" cm="1">
        <f t="array" aca="1" ref="CM23" ca="1">IF($CK23&lt;&gt;"",
INDIRECT(""&amp;IF(COLUMN(BZ23)&lt;=26,CHAR(COLUMN(BZ23)+64),CHAR(INT((COLUMN(BZ23)-1)/26)+64)&amp;CHAR(MOD(COLUMN(BZ23)-1,26)+65))&amp;$CK23&amp;""),"")</f>
        <v/>
      </c>
      <c r="CN23" s="77" t="str" cm="1">
        <f t="array" aca="1" ref="CN23" ca="1">IF($CK23&lt;&gt;"",
INDIRECT(""&amp;IF(COLUMN(CA23)&lt;=26,CHAR(COLUMN(CA23)+64),CHAR(INT((COLUMN(CA23)-1)/26)+64)&amp;CHAR(MOD(COLUMN(CA23)-1,26)+65))&amp;$CK23&amp;""),"")</f>
        <v/>
      </c>
      <c r="CO23" s="77" t="str" cm="1">
        <f t="array" aca="1" ref="CO23" ca="1">IF($CK23&lt;&gt;"",
INDIRECT(""&amp;IF(COLUMN(CB23)&lt;=26,CHAR(COLUMN(CB23)+64),CHAR(INT((COLUMN(CB23)-1)/26)+64)&amp;CHAR(MOD(COLUMN(CB23)-1,26)+65))&amp;$CK23&amp;""),"")</f>
        <v/>
      </c>
      <c r="CP23" s="77" t="str" cm="1">
        <f t="array" aca="1" ref="CP23" ca="1">IF($CK23&lt;&gt;"",
INDIRECT(""&amp;IF(COLUMN(CC23)&lt;=26,CHAR(COLUMN(CC23)+64),CHAR(INT((COLUMN(CC23)-1)/26)+64)&amp;CHAR(MOD(COLUMN(CC23)-1,26)+65))&amp;$CK23&amp;""),"")</f>
        <v/>
      </c>
      <c r="CQ23" s="77" t="str" cm="1">
        <f t="array" aca="1" ref="CQ23" ca="1">IF($CK23&lt;&gt;"",
INDIRECT(""&amp;IF(COLUMN(CD23)&lt;=26,CHAR(COLUMN(CD23)+64),CHAR(INT((COLUMN(CD23)-1)/26)+64)&amp;CHAR(MOD(COLUMN(CD23)-1,26)+65))&amp;$CK23&amp;""),"")</f>
        <v/>
      </c>
      <c r="CR23" s="77" t="str" cm="1">
        <f t="array" aca="1" ref="CR23" ca="1">IF($CK23&lt;&gt;"",
INDIRECT(""&amp;IF(COLUMN(CE23)&lt;=26,CHAR(COLUMN(CE23)+64),CHAR(INT((COLUMN(CE23)-1)/26)+64)&amp;CHAR(MOD(COLUMN(CE23)-1,26)+65))&amp;$CK23&amp;""),"")</f>
        <v/>
      </c>
      <c r="CS23" s="77" t="str" cm="1">
        <f t="array" aca="1" ref="CS23" ca="1">IF($CK23&lt;&gt;"",
INDIRECT(""&amp;IF(COLUMN(CF23)&lt;=26,CHAR(COLUMN(CF23)+64),CHAR(INT((COLUMN(CF23)-1)/26)+64)&amp;CHAR(MOD(COLUMN(CF23)-1,26)+65))&amp;$CK23&amp;""),"")</f>
        <v/>
      </c>
      <c r="CT23" s="77" t="str" cm="1">
        <f t="array" aca="1" ref="CT23" ca="1">IF($CK23&lt;&gt;"",
INDIRECT(""&amp;IF(COLUMN(CG23)&lt;=26,CHAR(COLUMN(CG23)+64),CHAR(INT((COLUMN(CG23)-1)/26)+64)&amp;CHAR(MOD(COLUMN(CG23)-1,26)+65))&amp;$CK23&amp;""),"")</f>
        <v/>
      </c>
      <c r="CU23" s="77" t="str" cm="1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77" customFormat="1" ht="22.2" x14ac:dyDescent="0.55000000000000004">
      <c r="A24" s="83"/>
      <c r="B24" s="8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86" t="str">
        <f ca="1">IF(C23&lt;&gt;"",
"園児","")</f>
        <v/>
      </c>
      <c r="D24" s="87"/>
      <c r="E24" s="96" t="str">
        <f ca="1">IF(C23&lt;&gt;"",
"先生","")</f>
        <v/>
      </c>
      <c r="F24" s="87"/>
      <c r="G24" s="101"/>
      <c r="H24" s="83"/>
      <c r="I24" s="8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86" t="str">
        <f ca="1">IF(J23&lt;&gt;"",
"園児","")</f>
        <v/>
      </c>
      <c r="K24" s="87"/>
      <c r="L24" s="96" t="str">
        <f ca="1">IF(J23&lt;&gt;"",
"先生","")</f>
        <v/>
      </c>
      <c r="M24" s="87"/>
      <c r="N24" s="101"/>
      <c r="O24" s="53"/>
      <c r="P24" s="83"/>
      <c r="Q24" s="8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86" t="str">
        <f ca="1">IF(R23&lt;&gt;"",
"園児","")</f>
        <v/>
      </c>
      <c r="S24" s="87"/>
      <c r="T24" s="96" t="str">
        <f ca="1">IF(R23&lt;&gt;"",
"先生","")</f>
        <v/>
      </c>
      <c r="U24" s="87"/>
      <c r="V24" s="101"/>
      <c r="W24" s="83"/>
      <c r="X24" s="8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86" t="str">
        <f ca="1">IF(Y23&lt;&gt;"",
"園児","")</f>
        <v/>
      </c>
      <c r="Z24" s="87"/>
      <c r="AA24" s="96" t="str">
        <f ca="1">IF(Y23&lt;&gt;"",
"先生","")</f>
        <v/>
      </c>
      <c r="AB24" s="87"/>
      <c r="AC24" s="101"/>
      <c r="AD24" s="53"/>
      <c r="AE24" s="83"/>
      <c r="AF24" s="8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86" t="str">
        <f ca="1">IF(AG23&lt;&gt;"",
"園児","")</f>
        <v/>
      </c>
      <c r="AH24" s="87"/>
      <c r="AI24" s="96" t="str">
        <f ca="1">IF(AG23&lt;&gt;"",
"先生","")</f>
        <v/>
      </c>
      <c r="AJ24" s="87"/>
      <c r="AK24" s="101"/>
      <c r="AL24" s="83"/>
      <c r="AM24" s="8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86" t="str">
        <f ca="1">IF(AN23&lt;&gt;"",
"園児","")</f>
        <v/>
      </c>
      <c r="AO24" s="87"/>
      <c r="AP24" s="96" t="str">
        <f ca="1">IF(AN23&lt;&gt;"",
"先生","")</f>
        <v/>
      </c>
      <c r="AQ24" s="87"/>
      <c r="AR24" s="101"/>
      <c r="AS24" s="53"/>
      <c r="AT24" s="83"/>
      <c r="AU24" s="8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86" t="str">
        <f ca="1">IF(AV23&lt;&gt;"",
"園児","")</f>
        <v/>
      </c>
      <c r="AW24" s="87"/>
      <c r="AX24" s="96" t="str">
        <f ca="1">IF(AV23&lt;&gt;"",
"先生","")</f>
        <v/>
      </c>
      <c r="AY24" s="87"/>
      <c r="AZ24" s="101"/>
      <c r="BA24" s="83"/>
      <c r="BB24" s="8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86" t="str">
        <f ca="1">IF(BC23&lt;&gt;"",
"園児","")</f>
        <v/>
      </c>
      <c r="BD24" s="87"/>
      <c r="BE24" s="96" t="str">
        <f ca="1">IF(BC23&lt;&gt;"",
"先生","")</f>
        <v/>
      </c>
      <c r="BF24" s="87"/>
      <c r="BG24" s="101"/>
      <c r="BH24" s="53"/>
      <c r="BI24" s="83"/>
      <c r="BJ24" s="8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86" t="str">
        <f ca="1">IF(BK23&lt;&gt;"",
"園児","")</f>
        <v/>
      </c>
      <c r="BL24" s="87"/>
      <c r="BM24" s="96" t="str">
        <f ca="1">IF(BK23&lt;&gt;"",
"先生","")</f>
        <v/>
      </c>
      <c r="BN24" s="87"/>
      <c r="BO24" s="101"/>
      <c r="BP24" s="83"/>
      <c r="BQ24" s="8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86" t="str">
        <f ca="1">IF(BR23&lt;&gt;"",
"園児","")</f>
        <v/>
      </c>
      <c r="BS24" s="87"/>
      <c r="BT24" s="96" t="str">
        <f ca="1">IF(BR23&lt;&gt;"",
"先生","")</f>
        <v/>
      </c>
      <c r="BU24" s="87"/>
      <c r="BV24" s="101"/>
      <c r="BW24" s="53"/>
      <c r="BX24" s="77">
        <f>BX20+7</f>
        <v>77</v>
      </c>
      <c r="BY24" s="77" t="str" cm="1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77" t="str" cm="1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77" t="str" cm="1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77" t="str" cm="1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77" t="str" cm="1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77" t="str" cm="1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77" t="str" cm="1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77" t="str" cm="1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77" t="str" cm="1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77" t="str" cm="1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77">
        <f t="shared" ca="1" si="0"/>
        <v>0</v>
      </c>
      <c r="CJ24" s="77" t="b" cm="1">
        <f t="array" aca="1" ref="CJ24" ca="1">SUMPRODUCT((LEN(BY24:CH24)&gt;0)*1)&gt;0</f>
        <v>0</v>
      </c>
      <c r="CK24" s="77" t="str">
        <f t="array" aca="1" ref="CK24" ca="1">IFERROR(SMALL(IF(CI$1:CI$100&lt;&gt;0,CI$1:CI$100),ROW(A24)),"")</f>
        <v/>
      </c>
      <c r="CL24" s="77" t="str" cm="1">
        <f t="array" aca="1" ref="CL24" ca="1">IF($CK24&lt;&gt;"",
INDIRECT(""&amp;IF(COLUMN(BY24)&lt;=26,CHAR(COLUMN(BY24)+64),CHAR(INT((COLUMN(BY24)-1)/26)+64)&amp;CHAR(MOD(COLUMN(BY24)-1,26)+65))&amp;$CK24&amp;""),"")</f>
        <v/>
      </c>
      <c r="CM24" s="77" t="str" cm="1">
        <f t="array" aca="1" ref="CM24" ca="1">IF($CK24&lt;&gt;"",
INDIRECT(""&amp;IF(COLUMN(BZ24)&lt;=26,CHAR(COLUMN(BZ24)+64),CHAR(INT((COLUMN(BZ24)-1)/26)+64)&amp;CHAR(MOD(COLUMN(BZ24)-1,26)+65))&amp;$CK24&amp;""),"")</f>
        <v/>
      </c>
      <c r="CN24" s="77" t="str" cm="1">
        <f t="array" aca="1" ref="CN24" ca="1">IF($CK24&lt;&gt;"",
INDIRECT(""&amp;IF(COLUMN(CA24)&lt;=26,CHAR(COLUMN(CA24)+64),CHAR(INT((COLUMN(CA24)-1)/26)+64)&amp;CHAR(MOD(COLUMN(CA24)-1,26)+65))&amp;$CK24&amp;""),"")</f>
        <v/>
      </c>
      <c r="CO24" s="77" t="str" cm="1">
        <f t="array" aca="1" ref="CO24" ca="1">IF($CK24&lt;&gt;"",
INDIRECT(""&amp;IF(COLUMN(CB24)&lt;=26,CHAR(COLUMN(CB24)+64),CHAR(INT((COLUMN(CB24)-1)/26)+64)&amp;CHAR(MOD(COLUMN(CB24)-1,26)+65))&amp;$CK24&amp;""),"")</f>
        <v/>
      </c>
      <c r="CP24" s="77" t="str" cm="1">
        <f t="array" aca="1" ref="CP24" ca="1">IF($CK24&lt;&gt;"",
INDIRECT(""&amp;IF(COLUMN(CC24)&lt;=26,CHAR(COLUMN(CC24)+64),CHAR(INT((COLUMN(CC24)-1)/26)+64)&amp;CHAR(MOD(COLUMN(CC24)-1,26)+65))&amp;$CK24&amp;""),"")</f>
        <v/>
      </c>
      <c r="CQ24" s="77" t="str" cm="1">
        <f t="array" aca="1" ref="CQ24" ca="1">IF($CK24&lt;&gt;"",
INDIRECT(""&amp;IF(COLUMN(CD24)&lt;=26,CHAR(COLUMN(CD24)+64),CHAR(INT((COLUMN(CD24)-1)/26)+64)&amp;CHAR(MOD(COLUMN(CD24)-1,26)+65))&amp;$CK24&amp;""),"")</f>
        <v/>
      </c>
      <c r="CR24" s="77" t="str" cm="1">
        <f t="array" aca="1" ref="CR24" ca="1">IF($CK24&lt;&gt;"",
INDIRECT(""&amp;IF(COLUMN(CE24)&lt;=26,CHAR(COLUMN(CE24)+64),CHAR(INT((COLUMN(CE24)-1)/26)+64)&amp;CHAR(MOD(COLUMN(CE24)-1,26)+65))&amp;$CK24&amp;""),"")</f>
        <v/>
      </c>
      <c r="CS24" s="77" t="str" cm="1">
        <f t="array" aca="1" ref="CS24" ca="1">IF($CK24&lt;&gt;"",
INDIRECT(""&amp;IF(COLUMN(CF24)&lt;=26,CHAR(COLUMN(CF24)+64),CHAR(INT((COLUMN(CF24)-1)/26)+64)&amp;CHAR(MOD(COLUMN(CF24)-1,26)+65))&amp;$CK24&amp;""),"")</f>
        <v/>
      </c>
      <c r="CT24" s="77" t="str" cm="1">
        <f t="array" aca="1" ref="CT24" ca="1">IF($CK24&lt;&gt;"",
INDIRECT(""&amp;IF(COLUMN(CG24)&lt;=26,CHAR(COLUMN(CG24)+64),CHAR(INT((COLUMN(CG24)-1)/26)+64)&amp;CHAR(MOD(COLUMN(CG24)-1,26)+65))&amp;$CK24&amp;""),"")</f>
        <v/>
      </c>
      <c r="CU24" s="77" t="str" cm="1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A25" s="58"/>
      <c r="B25" s="57"/>
      <c r="C25" s="90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91"/>
      <c r="E25" s="93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91"/>
      <c r="G25" s="101"/>
      <c r="H25" s="58"/>
      <c r="I25" s="57"/>
      <c r="J25" s="90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91"/>
      <c r="L25" s="93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91"/>
      <c r="N25" s="101"/>
      <c r="P25" s="58"/>
      <c r="Q25" s="57"/>
      <c r="R25" s="90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91"/>
      <c r="T25" s="93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91"/>
      <c r="V25" s="101"/>
      <c r="W25" s="58"/>
      <c r="X25" s="57"/>
      <c r="Y25" s="90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91"/>
      <c r="AA25" s="93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91"/>
      <c r="AC25" s="101"/>
      <c r="AE25" s="58"/>
      <c r="AF25" s="57"/>
      <c r="AG25" s="90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91"/>
      <c r="AI25" s="93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91"/>
      <c r="AK25" s="101"/>
      <c r="AL25" s="58"/>
      <c r="AM25" s="57"/>
      <c r="AN25" s="90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91"/>
      <c r="AP25" s="93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91"/>
      <c r="AR25" s="101"/>
      <c r="AT25" s="58"/>
      <c r="AU25" s="57"/>
      <c r="AV25" s="90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91"/>
      <c r="AX25" s="93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91"/>
      <c r="AZ25" s="101"/>
      <c r="BA25" s="58"/>
      <c r="BB25" s="57"/>
      <c r="BC25" s="90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91"/>
      <c r="BE25" s="93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91"/>
      <c r="BG25" s="101"/>
      <c r="BI25" s="58"/>
      <c r="BJ25" s="57"/>
      <c r="BK25" s="90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91"/>
      <c r="BM25" s="93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91"/>
      <c r="BO25" s="101"/>
      <c r="BP25" s="58"/>
      <c r="BQ25" s="57"/>
      <c r="BR25" s="90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91"/>
      <c r="BT25" s="93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91"/>
      <c r="BV25" s="101"/>
      <c r="BX25" s="77"/>
      <c r="BY25" s="115" t="str">
        <f ca="1">R1</f>
        <v/>
      </c>
      <c r="BZ25" s="115" t="str">
        <f ca="1">R2</f>
        <v/>
      </c>
      <c r="CA25" s="115" t="str">
        <f ca="1">T2</f>
        <v/>
      </c>
      <c r="CB25" s="116" t="str">
        <f ca="1">U2</f>
        <v/>
      </c>
      <c r="CC25" s="115" t="str">
        <f ca="1">R4</f>
        <v/>
      </c>
      <c r="CD25" s="115" t="str">
        <f ca="1">T4</f>
        <v/>
      </c>
      <c r="CE25" s="115" t="str">
        <f ca="1">R6</f>
        <v/>
      </c>
      <c r="CF25" s="115" t="str">
        <f ca="1">Q7</f>
        <v/>
      </c>
      <c r="CG25" s="115" t="str">
        <f ca="1">S7</f>
        <v/>
      </c>
      <c r="CH25" s="115" t="str">
        <f ca="1">U7</f>
        <v/>
      </c>
      <c r="CI25" s="77">
        <f t="shared" ca="1" si="0"/>
        <v>0</v>
      </c>
      <c r="CJ25" s="77" t="b" cm="1">
        <f t="array" aca="1" ref="CJ25" ca="1">SUMPRODUCT((LEN(BY25:CH25)&gt;0)*1)&gt;0</f>
        <v>0</v>
      </c>
      <c r="CK25" s="77" t="str">
        <f t="array" aca="1" ref="CK25" ca="1">IFERROR(SMALL(IF(CI$1:CI$100&lt;&gt;0,CI$1:CI$100),ROW(A25)),"")</f>
        <v/>
      </c>
      <c r="CL25" s="77" t="str" cm="1">
        <f t="array" aca="1" ref="CL25" ca="1">IF($CK25&lt;&gt;"",
INDIRECT(""&amp;IF(COLUMN(BY25)&lt;=26,CHAR(COLUMN(BY25)+64),CHAR(INT((COLUMN(BY25)-1)/26)+64)&amp;CHAR(MOD(COLUMN(BY25)-1,26)+65))&amp;$CK25&amp;""),"")</f>
        <v/>
      </c>
      <c r="CM25" s="77" t="str" cm="1">
        <f t="array" aca="1" ref="CM25" ca="1">IF($CK25&lt;&gt;"",
INDIRECT(""&amp;IF(COLUMN(BZ25)&lt;=26,CHAR(COLUMN(BZ25)+64),CHAR(INT((COLUMN(BZ25)-1)/26)+64)&amp;CHAR(MOD(COLUMN(BZ25)-1,26)+65))&amp;$CK25&amp;""),"")</f>
        <v/>
      </c>
      <c r="CN25" s="77" t="str" cm="1">
        <f t="array" aca="1" ref="CN25" ca="1">IF($CK25&lt;&gt;"",
INDIRECT(""&amp;IF(COLUMN(CA25)&lt;=26,CHAR(COLUMN(CA25)+64),CHAR(INT((COLUMN(CA25)-1)/26)+64)&amp;CHAR(MOD(COLUMN(CA25)-1,26)+65))&amp;$CK25&amp;""),"")</f>
        <v/>
      </c>
      <c r="CO25" s="77" t="str" cm="1">
        <f t="array" aca="1" ref="CO25" ca="1">IF($CK25&lt;&gt;"",
INDIRECT(""&amp;IF(COLUMN(CB25)&lt;=26,CHAR(COLUMN(CB25)+64),CHAR(INT((COLUMN(CB25)-1)/26)+64)&amp;CHAR(MOD(COLUMN(CB25)-1,26)+65))&amp;$CK25&amp;""),"")</f>
        <v/>
      </c>
      <c r="CP25" s="77" t="str" cm="1">
        <f t="array" aca="1" ref="CP25" ca="1">IF($CK25&lt;&gt;"",
INDIRECT(""&amp;IF(COLUMN(CC25)&lt;=26,CHAR(COLUMN(CC25)+64),CHAR(INT((COLUMN(CC25)-1)/26)+64)&amp;CHAR(MOD(COLUMN(CC25)-1,26)+65))&amp;$CK25&amp;""),"")</f>
        <v/>
      </c>
      <c r="CQ25" s="77" t="str" cm="1">
        <f t="array" aca="1" ref="CQ25" ca="1">IF($CK25&lt;&gt;"",
INDIRECT(""&amp;IF(COLUMN(CD25)&lt;=26,CHAR(COLUMN(CD25)+64),CHAR(INT((COLUMN(CD25)-1)/26)+64)&amp;CHAR(MOD(COLUMN(CD25)-1,26)+65))&amp;$CK25&amp;""),"")</f>
        <v/>
      </c>
      <c r="CR25" s="77" t="str" cm="1">
        <f t="array" aca="1" ref="CR25" ca="1">IF($CK25&lt;&gt;"",
INDIRECT(""&amp;IF(COLUMN(CE25)&lt;=26,CHAR(COLUMN(CE25)+64),CHAR(INT((COLUMN(CE25)-1)/26)+64)&amp;CHAR(MOD(COLUMN(CE25)-1,26)+65))&amp;$CK25&amp;""),"")</f>
        <v/>
      </c>
      <c r="CS25" s="77" t="str" cm="1">
        <f t="array" aca="1" ref="CS25" ca="1">IF($CK25&lt;&gt;"",
INDIRECT(""&amp;IF(COLUMN(CF25)&lt;=26,CHAR(COLUMN(CF25)+64),CHAR(INT((COLUMN(CF25)-1)/26)+64)&amp;CHAR(MOD(COLUMN(CF25)-1,26)+65))&amp;$CK25&amp;""),"")</f>
        <v/>
      </c>
      <c r="CT25" s="77" t="str" cm="1">
        <f t="array" aca="1" ref="CT25" ca="1">IF($CK25&lt;&gt;"",
INDIRECT(""&amp;IF(COLUMN(CG25)&lt;=26,CHAR(COLUMN(CG25)+64),CHAR(INT((COLUMN(CG25)-1)/26)+64)&amp;CHAR(MOD(COLUMN(CG25)-1,26)+65))&amp;$CK25&amp;""),"")</f>
        <v/>
      </c>
      <c r="CU25" s="77" t="str" cm="1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A26" s="58"/>
      <c r="B26" s="59"/>
      <c r="C26" s="92"/>
      <c r="D26" s="92"/>
      <c r="E26" s="92"/>
      <c r="F26" s="92"/>
      <c r="G26" s="102"/>
      <c r="H26" s="58"/>
      <c r="I26" s="59"/>
      <c r="J26" s="92"/>
      <c r="K26" s="92"/>
      <c r="L26" s="92"/>
      <c r="M26" s="92"/>
      <c r="N26" s="102"/>
      <c r="P26" s="58"/>
      <c r="Q26" s="59"/>
      <c r="R26" s="92"/>
      <c r="S26" s="92"/>
      <c r="T26" s="92"/>
      <c r="U26" s="92"/>
      <c r="V26" s="102"/>
      <c r="W26" s="58"/>
      <c r="X26" s="59"/>
      <c r="Y26" s="92"/>
      <c r="Z26" s="92"/>
      <c r="AA26" s="92"/>
      <c r="AB26" s="92"/>
      <c r="AC26" s="102"/>
      <c r="AE26" s="58"/>
      <c r="AF26" s="59"/>
      <c r="AG26" s="92"/>
      <c r="AH26" s="92"/>
      <c r="AI26" s="92"/>
      <c r="AJ26" s="92"/>
      <c r="AK26" s="102"/>
      <c r="AL26" s="58"/>
      <c r="AM26" s="59"/>
      <c r="AN26" s="92"/>
      <c r="AO26" s="92"/>
      <c r="AP26" s="92"/>
      <c r="AQ26" s="92"/>
      <c r="AR26" s="102"/>
      <c r="AT26" s="58"/>
      <c r="AU26" s="59"/>
      <c r="AV26" s="92"/>
      <c r="AW26" s="92"/>
      <c r="AX26" s="92"/>
      <c r="AY26" s="92"/>
      <c r="AZ26" s="102"/>
      <c r="BA26" s="58"/>
      <c r="BB26" s="59"/>
      <c r="BC26" s="92"/>
      <c r="BD26" s="92"/>
      <c r="BE26" s="92"/>
      <c r="BF26" s="92"/>
      <c r="BG26" s="102"/>
      <c r="BI26" s="58"/>
      <c r="BJ26" s="59"/>
      <c r="BK26" s="92"/>
      <c r="BL26" s="92"/>
      <c r="BM26" s="92"/>
      <c r="BN26" s="92"/>
      <c r="BO26" s="102"/>
      <c r="BP26" s="58"/>
      <c r="BQ26" s="59"/>
      <c r="BR26" s="92"/>
      <c r="BS26" s="92"/>
      <c r="BT26" s="92"/>
      <c r="BU26" s="92"/>
      <c r="BV26" s="102"/>
      <c r="BX26" s="77">
        <v>42</v>
      </c>
      <c r="BY26" s="77" t="str" cm="1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77" t="str" cm="1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77" t="str" cm="1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77" t="str" cm="1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77" t="str" cm="1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77" t="str" cm="1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77" t="str" cm="1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77" t="str" cm="1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77" t="str" cm="1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77" t="str" cm="1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77">
        <f t="shared" ca="1" si="0"/>
        <v>0</v>
      </c>
      <c r="CJ26" s="77" t="b" cm="1">
        <f t="array" aca="1" ref="CJ26" ca="1">SUMPRODUCT((LEN(BY26:CH26)&gt;0)*1)&gt;0</f>
        <v>0</v>
      </c>
      <c r="CK26" s="77" t="str">
        <f t="array" aca="1" ref="CK26" ca="1">IFERROR(SMALL(IF(CI$1:CI$100&lt;&gt;0,CI$1:CI$100),ROW(A26)),"")</f>
        <v/>
      </c>
      <c r="CL26" s="77" t="str" cm="1">
        <f t="array" aca="1" ref="CL26" ca="1">IF($CK26&lt;&gt;"",
INDIRECT(""&amp;IF(COLUMN(BY26)&lt;=26,CHAR(COLUMN(BY26)+64),CHAR(INT((COLUMN(BY26)-1)/26)+64)&amp;CHAR(MOD(COLUMN(BY26)-1,26)+65))&amp;$CK26&amp;""),"")</f>
        <v/>
      </c>
      <c r="CM26" s="77" t="str" cm="1">
        <f t="array" aca="1" ref="CM26" ca="1">IF($CK26&lt;&gt;"",
INDIRECT(""&amp;IF(COLUMN(BZ26)&lt;=26,CHAR(COLUMN(BZ26)+64),CHAR(INT((COLUMN(BZ26)-1)/26)+64)&amp;CHAR(MOD(COLUMN(BZ26)-1,26)+65))&amp;$CK26&amp;""),"")</f>
        <v/>
      </c>
      <c r="CN26" s="77" t="str" cm="1">
        <f t="array" aca="1" ref="CN26" ca="1">IF($CK26&lt;&gt;"",
INDIRECT(""&amp;IF(COLUMN(CA26)&lt;=26,CHAR(COLUMN(CA26)+64),CHAR(INT((COLUMN(CA26)-1)/26)+64)&amp;CHAR(MOD(COLUMN(CA26)-1,26)+65))&amp;$CK26&amp;""),"")</f>
        <v/>
      </c>
      <c r="CO26" s="77" t="str" cm="1">
        <f t="array" aca="1" ref="CO26" ca="1">IF($CK26&lt;&gt;"",
INDIRECT(""&amp;IF(COLUMN(CB26)&lt;=26,CHAR(COLUMN(CB26)+64),CHAR(INT((COLUMN(CB26)-1)/26)+64)&amp;CHAR(MOD(COLUMN(CB26)-1,26)+65))&amp;$CK26&amp;""),"")</f>
        <v/>
      </c>
      <c r="CP26" s="77" t="str" cm="1">
        <f t="array" aca="1" ref="CP26" ca="1">IF($CK26&lt;&gt;"",
INDIRECT(""&amp;IF(COLUMN(CC26)&lt;=26,CHAR(COLUMN(CC26)+64),CHAR(INT((COLUMN(CC26)-1)/26)+64)&amp;CHAR(MOD(COLUMN(CC26)-1,26)+65))&amp;$CK26&amp;""),"")</f>
        <v/>
      </c>
      <c r="CQ26" s="77" t="str" cm="1">
        <f t="array" aca="1" ref="CQ26" ca="1">IF($CK26&lt;&gt;"",
INDIRECT(""&amp;IF(COLUMN(CD26)&lt;=26,CHAR(COLUMN(CD26)+64),CHAR(INT((COLUMN(CD26)-1)/26)+64)&amp;CHAR(MOD(COLUMN(CD26)-1,26)+65))&amp;$CK26&amp;""),"")</f>
        <v/>
      </c>
      <c r="CR26" s="77" t="str" cm="1">
        <f t="array" aca="1" ref="CR26" ca="1">IF($CK26&lt;&gt;"",
INDIRECT(""&amp;IF(COLUMN(CE26)&lt;=26,CHAR(COLUMN(CE26)+64),CHAR(INT((COLUMN(CE26)-1)/26)+64)&amp;CHAR(MOD(COLUMN(CE26)-1,26)+65))&amp;$CK26&amp;""),"")</f>
        <v/>
      </c>
      <c r="CS26" s="77" t="str" cm="1">
        <f t="array" aca="1" ref="CS26" ca="1">IF($CK26&lt;&gt;"",
INDIRECT(""&amp;IF(COLUMN(CF26)&lt;=26,CHAR(COLUMN(CF26)+64),CHAR(INT((COLUMN(CF26)-1)/26)+64)&amp;CHAR(MOD(COLUMN(CF26)-1,26)+65))&amp;$CK26&amp;""),"")</f>
        <v/>
      </c>
      <c r="CT26" s="77" t="str" cm="1">
        <f t="array" aca="1" ref="CT26" ca="1">IF($CK26&lt;&gt;"",
INDIRECT(""&amp;IF(COLUMN(CG26)&lt;=26,CHAR(COLUMN(CG26)+64),CHAR(INT((COLUMN(CG26)-1)/26)+64)&amp;CHAR(MOD(COLUMN(CG26)-1,26)+65))&amp;$CK26&amp;""),"")</f>
        <v/>
      </c>
      <c r="CU26" s="77" t="str" cm="1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77" customFormat="1" ht="22.2" x14ac:dyDescent="0.55000000000000004">
      <c r="A27" s="53"/>
      <c r="B27" s="84" t="str">
        <f ca="1">IF(C23&lt;&gt;"",
"パン箱","")</f>
        <v/>
      </c>
      <c r="C27" s="82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84" t="str">
        <f ca="1">IF(C23&lt;&gt;"",
" 端数","")</f>
        <v/>
      </c>
      <c r="E27" s="82"/>
      <c r="F27" s="84" t="str">
        <f ca="1">IF(C23&lt;&gt;"",
"アレルギー","")</f>
        <v/>
      </c>
      <c r="G27" s="101"/>
      <c r="H27" s="53"/>
      <c r="I27" s="84" t="str">
        <f ca="1">IF(J23&lt;&gt;"",
"パン箱","")</f>
        <v/>
      </c>
      <c r="J27" s="82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84" t="str">
        <f ca="1">IF(J23&lt;&gt;"",
" 端数","")</f>
        <v/>
      </c>
      <c r="L27" s="82"/>
      <c r="M27" s="84" t="str">
        <f ca="1">IF(J23&lt;&gt;"",
"アレルギー","")</f>
        <v/>
      </c>
      <c r="N27" s="101"/>
      <c r="O27" s="53"/>
      <c r="P27" s="53"/>
      <c r="Q27" s="84" t="str">
        <f ca="1">IF(R23&lt;&gt;"",
"パン箱","")</f>
        <v/>
      </c>
      <c r="R27" s="82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84" t="str">
        <f ca="1">IF(R23&lt;&gt;"",
" 端数","")</f>
        <v/>
      </c>
      <c r="T27" s="82"/>
      <c r="U27" s="84" t="str">
        <f ca="1">IF(R23&lt;&gt;"",
"アレルギー","")</f>
        <v/>
      </c>
      <c r="V27" s="101"/>
      <c r="W27" s="53"/>
      <c r="X27" s="84" t="str">
        <f ca="1">IF(Y23&lt;&gt;"",
"パン箱","")</f>
        <v/>
      </c>
      <c r="Y27" s="82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84" t="str">
        <f ca="1">IF(Y23&lt;&gt;"",
" 端数","")</f>
        <v/>
      </c>
      <c r="AA27" s="82"/>
      <c r="AB27" s="84" t="str">
        <f ca="1">IF(Y23&lt;&gt;"",
"アレルギー","")</f>
        <v/>
      </c>
      <c r="AC27" s="101"/>
      <c r="AD27" s="53"/>
      <c r="AE27" s="53"/>
      <c r="AF27" s="84" t="str">
        <f ca="1">IF(AG23&lt;&gt;"",
"パン箱","")</f>
        <v/>
      </c>
      <c r="AG27" s="82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84" t="str">
        <f ca="1">IF(AG23&lt;&gt;"",
" 端数","")</f>
        <v/>
      </c>
      <c r="AI27" s="82"/>
      <c r="AJ27" s="84" t="str">
        <f ca="1">IF(AG23&lt;&gt;"",
"アレルギー","")</f>
        <v/>
      </c>
      <c r="AK27" s="101"/>
      <c r="AL27" s="53"/>
      <c r="AM27" s="84" t="str">
        <f ca="1">IF(AN23&lt;&gt;"",
"パン箱","")</f>
        <v/>
      </c>
      <c r="AN27" s="82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84" t="str">
        <f ca="1">IF(AN23&lt;&gt;"",
" 端数","")</f>
        <v/>
      </c>
      <c r="AP27" s="82"/>
      <c r="AQ27" s="84" t="str">
        <f ca="1">IF(AN23&lt;&gt;"",
"アレルギー","")</f>
        <v/>
      </c>
      <c r="AR27" s="101"/>
      <c r="AS27" s="53"/>
      <c r="AT27" s="53"/>
      <c r="AU27" s="84" t="str">
        <f ca="1">IF(AV23&lt;&gt;"",
"パン箱","")</f>
        <v/>
      </c>
      <c r="AV27" s="82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84" t="str">
        <f ca="1">IF(AV23&lt;&gt;"",
" 端数","")</f>
        <v/>
      </c>
      <c r="AX27" s="82"/>
      <c r="AY27" s="84" t="str">
        <f ca="1">IF(AV23&lt;&gt;"",
"アレルギー","")</f>
        <v/>
      </c>
      <c r="AZ27" s="101"/>
      <c r="BA27" s="53"/>
      <c r="BB27" s="84" t="str">
        <f ca="1">IF(BC23&lt;&gt;"",
"パン箱","")</f>
        <v/>
      </c>
      <c r="BC27" s="82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84" t="str">
        <f ca="1">IF(BC23&lt;&gt;"",
" 端数","")</f>
        <v/>
      </c>
      <c r="BE27" s="82"/>
      <c r="BF27" s="84" t="str">
        <f ca="1">IF(BC23&lt;&gt;"",
"アレルギー","")</f>
        <v/>
      </c>
      <c r="BG27" s="101"/>
      <c r="BH27" s="53"/>
      <c r="BI27" s="53"/>
      <c r="BJ27" s="84" t="str">
        <f ca="1">IF(BK23&lt;&gt;"",
"パン箱","")</f>
        <v/>
      </c>
      <c r="BK27" s="82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84" t="str">
        <f ca="1">IF(BK23&lt;&gt;"",
" 端数","")</f>
        <v/>
      </c>
      <c r="BM27" s="82"/>
      <c r="BN27" s="84" t="str">
        <f ca="1">IF(BK23&lt;&gt;"",
"アレルギー","")</f>
        <v/>
      </c>
      <c r="BO27" s="101"/>
      <c r="BP27" s="53"/>
      <c r="BQ27" s="84" t="str">
        <f ca="1">IF(BR23&lt;&gt;"",
"パン箱","")</f>
        <v/>
      </c>
      <c r="BR27" s="82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84" t="str">
        <f ca="1">IF(BR23&lt;&gt;"",
" 端数","")</f>
        <v/>
      </c>
      <c r="BT27" s="82"/>
      <c r="BU27" s="84" t="str">
        <f ca="1">IF(BR23&lt;&gt;"",
"アレルギー","")</f>
        <v/>
      </c>
      <c r="BV27" s="101"/>
      <c r="BW27" s="53"/>
      <c r="BY27" s="115" t="str">
        <f ca="1">Y1</f>
        <v/>
      </c>
      <c r="BZ27" s="115" t="str">
        <f ca="1">Y2</f>
        <v/>
      </c>
      <c r="CA27" s="115" t="str">
        <f ca="1">AA2</f>
        <v/>
      </c>
      <c r="CB27" s="116" t="str">
        <f ca="1">AB2</f>
        <v/>
      </c>
      <c r="CC27" s="115" t="str">
        <f ca="1">Y4</f>
        <v/>
      </c>
      <c r="CD27" s="115" t="str">
        <f ca="1">AA4</f>
        <v/>
      </c>
      <c r="CE27" s="115" t="str">
        <f ca="1">Y6</f>
        <v/>
      </c>
      <c r="CF27" s="115" t="str">
        <f ca="1">X7</f>
        <v/>
      </c>
      <c r="CG27" s="115" t="str">
        <f ca="1">Z7</f>
        <v/>
      </c>
      <c r="CH27" s="115" t="str">
        <f ca="1">AB7</f>
        <v/>
      </c>
      <c r="CI27" s="77">
        <f t="shared" ca="1" si="0"/>
        <v>0</v>
      </c>
      <c r="CJ27" s="77" t="b" cm="1">
        <f t="array" aca="1" ref="CJ27" ca="1">SUMPRODUCT((LEN(BY27:CH27)&gt;0)*1)&gt;0</f>
        <v>0</v>
      </c>
      <c r="CK27" s="77" t="str">
        <f t="array" aca="1" ref="CK27" ca="1">IFERROR(SMALL(IF(CI$1:CI$100&lt;&gt;0,CI$1:CI$100),ROW(A27)),"")</f>
        <v/>
      </c>
      <c r="CL27" s="77" t="str" cm="1">
        <f t="array" aca="1" ref="CL27" ca="1">IF($CK27&lt;&gt;"",
INDIRECT(""&amp;IF(COLUMN(BY27)&lt;=26,CHAR(COLUMN(BY27)+64),CHAR(INT((COLUMN(BY27)-1)/26)+64)&amp;CHAR(MOD(COLUMN(BY27)-1,26)+65))&amp;$CK27&amp;""),"")</f>
        <v/>
      </c>
      <c r="CM27" s="77" t="str" cm="1">
        <f t="array" aca="1" ref="CM27" ca="1">IF($CK27&lt;&gt;"",
INDIRECT(""&amp;IF(COLUMN(BZ27)&lt;=26,CHAR(COLUMN(BZ27)+64),CHAR(INT((COLUMN(BZ27)-1)/26)+64)&amp;CHAR(MOD(COLUMN(BZ27)-1,26)+65))&amp;$CK27&amp;""),"")</f>
        <v/>
      </c>
      <c r="CN27" s="77" t="str" cm="1">
        <f t="array" aca="1" ref="CN27" ca="1">IF($CK27&lt;&gt;"",
INDIRECT(""&amp;IF(COLUMN(CA27)&lt;=26,CHAR(COLUMN(CA27)+64),CHAR(INT((COLUMN(CA27)-1)/26)+64)&amp;CHAR(MOD(COLUMN(CA27)-1,26)+65))&amp;$CK27&amp;""),"")</f>
        <v/>
      </c>
      <c r="CO27" s="77" t="str" cm="1">
        <f t="array" aca="1" ref="CO27" ca="1">IF($CK27&lt;&gt;"",
INDIRECT(""&amp;IF(COLUMN(CB27)&lt;=26,CHAR(COLUMN(CB27)+64),CHAR(INT((COLUMN(CB27)-1)/26)+64)&amp;CHAR(MOD(COLUMN(CB27)-1,26)+65))&amp;$CK27&amp;""),"")</f>
        <v/>
      </c>
      <c r="CP27" s="77" t="str" cm="1">
        <f t="array" aca="1" ref="CP27" ca="1">IF($CK27&lt;&gt;"",
INDIRECT(""&amp;IF(COLUMN(CC27)&lt;=26,CHAR(COLUMN(CC27)+64),CHAR(INT((COLUMN(CC27)-1)/26)+64)&amp;CHAR(MOD(COLUMN(CC27)-1,26)+65))&amp;$CK27&amp;""),"")</f>
        <v/>
      </c>
      <c r="CQ27" s="77" t="str" cm="1">
        <f t="array" aca="1" ref="CQ27" ca="1">IF($CK27&lt;&gt;"",
INDIRECT(""&amp;IF(COLUMN(CD27)&lt;=26,CHAR(COLUMN(CD27)+64),CHAR(INT((COLUMN(CD27)-1)/26)+64)&amp;CHAR(MOD(COLUMN(CD27)-1,26)+65))&amp;$CK27&amp;""),"")</f>
        <v/>
      </c>
      <c r="CR27" s="77" t="str" cm="1">
        <f t="array" aca="1" ref="CR27" ca="1">IF($CK27&lt;&gt;"",
INDIRECT(""&amp;IF(COLUMN(CE27)&lt;=26,CHAR(COLUMN(CE27)+64),CHAR(INT((COLUMN(CE27)-1)/26)+64)&amp;CHAR(MOD(COLUMN(CE27)-1,26)+65))&amp;$CK27&amp;""),"")</f>
        <v/>
      </c>
      <c r="CS27" s="77" t="str" cm="1">
        <f t="array" aca="1" ref="CS27" ca="1">IF($CK27&lt;&gt;"",
INDIRECT(""&amp;IF(COLUMN(CF27)&lt;=26,CHAR(COLUMN(CF27)+64),CHAR(INT((COLUMN(CF27)-1)/26)+64)&amp;CHAR(MOD(COLUMN(CF27)-1,26)+65))&amp;$CK27&amp;""),"")</f>
        <v/>
      </c>
      <c r="CT27" s="77" t="str" cm="1">
        <f t="array" aca="1" ref="CT27" ca="1">IF($CK27&lt;&gt;"",
INDIRECT(""&amp;IF(COLUMN(CG27)&lt;=26,CHAR(COLUMN(CG27)+64),CHAR(INT((COLUMN(CG27)-1)/26)+64)&amp;CHAR(MOD(COLUMN(CG27)-1,26)+65))&amp;$CK27&amp;""),"")</f>
        <v/>
      </c>
      <c r="CU27" s="77" t="str" cm="1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97" t="str">
        <f ca="1">IF(C25&lt;&gt;"",
IFERROR(INT(C25/C27),""),"")</f>
        <v/>
      </c>
      <c r="C28" s="95"/>
      <c r="D28" s="97" t="str">
        <f ca="1">IFERROR(MOD(C25,C27),"")</f>
        <v/>
      </c>
      <c r="E28" s="95"/>
      <c r="F28" s="94" t="str">
        <f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"")="",0,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95"/>
      <c r="I28" s="97" t="str">
        <f ca="1">IF(J25&lt;&gt;"",
IFERROR(INT(J25/J27),""),"")</f>
        <v/>
      </c>
      <c r="J28" s="95"/>
      <c r="K28" s="97" t="str">
        <f ca="1">IFERROR(MOD(J25,J27),"")</f>
        <v/>
      </c>
      <c r="L28" s="95"/>
      <c r="M28" s="94" t="str">
        <f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"")="",0,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95"/>
      <c r="Q28" s="97" t="str">
        <f ca="1">IF(R25&lt;&gt;"",
IFERROR(INT(R25/R27),""),"")</f>
        <v/>
      </c>
      <c r="R28" s="95"/>
      <c r="S28" s="97" t="str">
        <f ca="1">IFERROR(MOD(R25,R27),"")</f>
        <v/>
      </c>
      <c r="T28" s="95"/>
      <c r="U28" s="94" t="str">
        <f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"")="",0,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95"/>
      <c r="X28" s="97" t="str">
        <f ca="1">IF(Y25&lt;&gt;"",
IFERROR(INT(Y25/Y27),""),"")</f>
        <v/>
      </c>
      <c r="Y28" s="95"/>
      <c r="Z28" s="97" t="str">
        <f ca="1">IFERROR(MOD(Y25,Y27),"")</f>
        <v/>
      </c>
      <c r="AA28" s="95"/>
      <c r="AB28" s="94" t="str">
        <f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"")="",0,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95"/>
      <c r="AF28" s="97" t="str">
        <f ca="1">IF(AG25&lt;&gt;"",
IFERROR(INT(AG25/AG27),""),"")</f>
        <v/>
      </c>
      <c r="AG28" s="95"/>
      <c r="AH28" s="97" t="str">
        <f ca="1">IFERROR(MOD(AG25,AG27),"")</f>
        <v/>
      </c>
      <c r="AI28" s="95"/>
      <c r="AJ28" s="94" t="str">
        <f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"")="",0,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95"/>
      <c r="AM28" s="97" t="str">
        <f ca="1">IF(AN25&lt;&gt;"",
IFERROR(INT(AN25/AN27),""),"")</f>
        <v/>
      </c>
      <c r="AN28" s="95"/>
      <c r="AO28" s="97" t="str">
        <f ca="1">IFERROR(MOD(AN25,AN27),"")</f>
        <v/>
      </c>
      <c r="AP28" s="95"/>
      <c r="AQ28" s="94" t="str">
        <f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"")="",0,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95"/>
      <c r="AU28" s="97" t="str">
        <f ca="1">IF(AV25&lt;&gt;"",
IFERROR(INT(AV25/AV27),""),"")</f>
        <v/>
      </c>
      <c r="AV28" s="95"/>
      <c r="AW28" s="97" t="str">
        <f ca="1">IFERROR(MOD(AV25,AV27),"")</f>
        <v/>
      </c>
      <c r="AX28" s="95"/>
      <c r="AY28" s="94" t="str">
        <f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"")="",0,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95"/>
      <c r="BB28" s="97" t="str">
        <f ca="1">IF(BC25&lt;&gt;"",
IFERROR(INT(BC25/BC27),""),"")</f>
        <v/>
      </c>
      <c r="BC28" s="95"/>
      <c r="BD28" s="97" t="str">
        <f ca="1">IFERROR(MOD(BC25,BC27),"")</f>
        <v/>
      </c>
      <c r="BE28" s="95"/>
      <c r="BF28" s="94" t="str">
        <f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"")="",0,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95"/>
      <c r="BJ28" s="97" t="str">
        <f ca="1">IF(BK25&lt;&gt;"",
IFERROR(INT(BK25/BK27),""),"")</f>
        <v/>
      </c>
      <c r="BK28" s="95"/>
      <c r="BL28" s="97" t="str">
        <f ca="1">IFERROR(MOD(BK25,BK27),"")</f>
        <v/>
      </c>
      <c r="BM28" s="95"/>
      <c r="BN28" s="94" t="str">
        <f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"")="",0,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95"/>
      <c r="BQ28" s="97" t="str">
        <f ca="1">IF(BR25&lt;&gt;"",
IFERROR(INT(BR25/BR27),""),"")</f>
        <v/>
      </c>
      <c r="BR28" s="95"/>
      <c r="BS28" s="97" t="str">
        <f ca="1">IFERROR(MOD(BR25,BR27),"")</f>
        <v/>
      </c>
      <c r="BT28" s="95"/>
      <c r="BU28" s="94" t="str">
        <f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"")="",0,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95"/>
      <c r="BX28" s="77">
        <v>42</v>
      </c>
      <c r="BY28" s="77" t="str" cm="1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77" t="str" cm="1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77" t="str" cm="1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77" t="str" cm="1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77" t="str" cm="1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77" t="str" cm="1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77" t="str" cm="1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77" t="str" cm="1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77" t="str" cm="1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77" t="str" cm="1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77">
        <f t="shared" ca="1" si="0"/>
        <v>0</v>
      </c>
      <c r="CJ28" s="77" t="b" cm="1">
        <f t="array" aca="1" ref="CJ28" ca="1">SUMPRODUCT((LEN(BY28:CH28)&gt;0)*1)&gt;0</f>
        <v>0</v>
      </c>
      <c r="CK28" s="77" t="str">
        <f t="array" aca="1" ref="CK28" ca="1">IFERROR(SMALL(IF(CI$1:CI$100&lt;&gt;0,CI$1:CI$100),ROW(A28)),"")</f>
        <v/>
      </c>
      <c r="CL28" s="77" t="str" cm="1">
        <f t="array" aca="1" ref="CL28" ca="1">IF($CK28&lt;&gt;"",
INDIRECT(""&amp;IF(COLUMN(BY28)&lt;=26,CHAR(COLUMN(BY28)+64),CHAR(INT((COLUMN(BY28)-1)/26)+64)&amp;CHAR(MOD(COLUMN(BY28)-1,26)+65))&amp;$CK28&amp;""),"")</f>
        <v/>
      </c>
      <c r="CM28" s="77" t="str" cm="1">
        <f t="array" aca="1" ref="CM28" ca="1">IF($CK28&lt;&gt;"",
INDIRECT(""&amp;IF(COLUMN(BZ28)&lt;=26,CHAR(COLUMN(BZ28)+64),CHAR(INT((COLUMN(BZ28)-1)/26)+64)&amp;CHAR(MOD(COLUMN(BZ28)-1,26)+65))&amp;$CK28&amp;""),"")</f>
        <v/>
      </c>
      <c r="CN28" s="77" t="str" cm="1">
        <f t="array" aca="1" ref="CN28" ca="1">IF($CK28&lt;&gt;"",
INDIRECT(""&amp;IF(COLUMN(CA28)&lt;=26,CHAR(COLUMN(CA28)+64),CHAR(INT((COLUMN(CA28)-1)/26)+64)&amp;CHAR(MOD(COLUMN(CA28)-1,26)+65))&amp;$CK28&amp;""),"")</f>
        <v/>
      </c>
      <c r="CO28" s="77" t="str" cm="1">
        <f t="array" aca="1" ref="CO28" ca="1">IF($CK28&lt;&gt;"",
INDIRECT(""&amp;IF(COLUMN(CB28)&lt;=26,CHAR(COLUMN(CB28)+64),CHAR(INT((COLUMN(CB28)-1)/26)+64)&amp;CHAR(MOD(COLUMN(CB28)-1,26)+65))&amp;$CK28&amp;""),"")</f>
        <v/>
      </c>
      <c r="CP28" s="77" t="str" cm="1">
        <f t="array" aca="1" ref="CP28" ca="1">IF($CK28&lt;&gt;"",
INDIRECT(""&amp;IF(COLUMN(CC28)&lt;=26,CHAR(COLUMN(CC28)+64),CHAR(INT((COLUMN(CC28)-1)/26)+64)&amp;CHAR(MOD(COLUMN(CC28)-1,26)+65))&amp;$CK28&amp;""),"")</f>
        <v/>
      </c>
      <c r="CQ28" s="77" t="str" cm="1">
        <f t="array" aca="1" ref="CQ28" ca="1">IF($CK28&lt;&gt;"",
INDIRECT(""&amp;IF(COLUMN(CD28)&lt;=26,CHAR(COLUMN(CD28)+64),CHAR(INT((COLUMN(CD28)-1)/26)+64)&amp;CHAR(MOD(COLUMN(CD28)-1,26)+65))&amp;$CK28&amp;""),"")</f>
        <v/>
      </c>
      <c r="CR28" s="77" t="str" cm="1">
        <f t="array" aca="1" ref="CR28" ca="1">IF($CK28&lt;&gt;"",
INDIRECT(""&amp;IF(COLUMN(CE28)&lt;=26,CHAR(COLUMN(CE28)+64),CHAR(INT((COLUMN(CE28)-1)/26)+64)&amp;CHAR(MOD(COLUMN(CE28)-1,26)+65))&amp;$CK28&amp;""),"")</f>
        <v/>
      </c>
      <c r="CS28" s="77" t="str" cm="1">
        <f t="array" aca="1" ref="CS28" ca="1">IF($CK28&lt;&gt;"",
INDIRECT(""&amp;IF(COLUMN(CF28)&lt;=26,CHAR(COLUMN(CF28)+64),CHAR(INT((COLUMN(CF28)-1)/26)+64)&amp;CHAR(MOD(COLUMN(CF28)-1,26)+65))&amp;$CK28&amp;""),"")</f>
        <v/>
      </c>
      <c r="CT28" s="77" t="str" cm="1">
        <f t="array" aca="1" ref="CT28" ca="1">IF($CK28&lt;&gt;"",
INDIRECT(""&amp;IF(COLUMN(CG28)&lt;=26,CHAR(COLUMN(CG28)+64),CHAR(INT((COLUMN(CG28)-1)/26)+64)&amp;CHAR(MOD(COLUMN(CG28)-1,26)+65))&amp;$CK28&amp;""),"")</f>
        <v/>
      </c>
      <c r="CU28" s="77" t="str" cm="1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77" customFormat="1" ht="18" customHeight="1" x14ac:dyDescent="0.55000000000000004">
      <c r="A29" s="75" t="e">
        <f t="array" aca="1" ref="A29" ca="1">IF(LEFT(N22,2)="博多",
IF(LEFT(INDIRECT("数出表_Excel!A"&amp;I22+2),2)="博多",
IF(LEFT(INDIRECT("数出表_Excel!A"&amp;I22+4),2)="博多",
I22+6,
I22+4),
I22+2),
IF(LEFT(N22,3)="奈良屋",
IF(LEFT(INDIRECT("数出表_Excel!A"&amp;I22+2),3)="奈良屋",
IF(LEFT(INDIRECT("数出表_Excel!A"&amp;I22+4),3)="奈良屋",
I22+6,
I22+4),
I22+2),
I22+2))</f>
        <v>#VALUE!</v>
      </c>
      <c r="B29" s="76" t="e">
        <f t="array" aca="1" ref="B29" ca="1">GetResult(A29)</f>
        <v>#VALUE!</v>
      </c>
      <c r="C29" s="88" t="str">
        <f ca="1">IF(C30&lt;&gt;"",
IF(LEFT(G29,2)="博多",
LEFT(G29,FIND("週",G29)-1),
G29),"")</f>
        <v/>
      </c>
      <c r="D29" s="89"/>
      <c r="E29" s="89"/>
      <c r="F29" s="89"/>
      <c r="G29" s="105" t="e" cm="1">
        <f t="array" aca="1" ref="G29" ca="1">INDIRECT("数出表_Excel!A"&amp;B29)</f>
        <v>#VALUE!</v>
      </c>
      <c r="H29" s="75" t="e">
        <f t="array" aca="1" ref="H29" ca="1">IF(LEFT(G29,2)="博多",
IF(LEFT(INDIRECT("数出表_Excel!A"&amp;B29+2),2)="博多",
IF(LEFT(INDIRECT("数出表_Excel!A"&amp;B29+4),2)="博多",
B29+6,
B29+4),
B29+2),
IF(LEFT(G29,3)="奈良屋",
IF(LEFT(INDIRECT("数出表_Excel!A"&amp;B29+2),3)="奈良屋",
IF(LEFT(INDIRECT("数出表_Excel!A"&amp;B29+4),3)="奈良屋",
B29+6,
B29+4),
B29+2),
B29+2))</f>
        <v>#VALUE!</v>
      </c>
      <c r="I29" s="76" t="e">
        <f t="array" aca="1" ref="I29" ca="1">GetResult(H29)</f>
        <v>#VALUE!</v>
      </c>
      <c r="J29" s="88" t="str">
        <f ca="1">IF(J30&lt;&gt;"",
IF(LEFT(N29,2)="博多",
LEFT(N29,FIND("週",N29)-1),
N29),"")</f>
        <v/>
      </c>
      <c r="K29" s="89"/>
      <c r="L29" s="89"/>
      <c r="M29" s="89"/>
      <c r="N29" s="105" t="e" cm="1">
        <f t="array" aca="1" ref="N29" ca="1">INDIRECT("数出表_Excel!A"&amp;I29)</f>
        <v>#VALUE!</v>
      </c>
      <c r="O29" s="53"/>
      <c r="P29" s="75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76" t="e">
        <f t="array" aca="1" ref="Q29" ca="1">GetResult(P29)</f>
        <v>#VALUE!</v>
      </c>
      <c r="R29" s="88" t="str">
        <f ca="1">IF(R30&lt;&gt;"",
IF(LEFT(V29,2)="博多",
LEFT(V29,FIND("週",V29)-1),
V29),"")</f>
        <v/>
      </c>
      <c r="S29" s="89"/>
      <c r="T29" s="89"/>
      <c r="U29" s="89"/>
      <c r="V29" s="105" t="e" cm="1">
        <f t="array" aca="1" ref="V29" ca="1">INDIRECT("数出表_Excel!A"&amp;Q29)</f>
        <v>#VALUE!</v>
      </c>
      <c r="W29" s="75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76" t="e">
        <f t="array" aca="1" ref="X29" ca="1">GetResult(W29)</f>
        <v>#VALUE!</v>
      </c>
      <c r="Y29" s="88" t="str">
        <f ca="1">IF(Y30&lt;&gt;"",
IF(LEFT(AC29,2)="博多",
LEFT(AC29,FIND("週",AC29)-1),
AC29),"")</f>
        <v/>
      </c>
      <c r="Z29" s="89"/>
      <c r="AA29" s="89"/>
      <c r="AB29" s="89"/>
      <c r="AC29" s="105" t="e" cm="1">
        <f t="array" aca="1" ref="AC29" ca="1">INDIRECT("数出表_Excel!A"&amp;X29)</f>
        <v>#VALUE!</v>
      </c>
      <c r="AD29" s="53"/>
      <c r="AE29" s="75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76" t="e">
        <f t="array" aca="1" ref="AF29" ca="1">GetResult(AE29)</f>
        <v>#VALUE!</v>
      </c>
      <c r="AG29" s="88" t="str">
        <f ca="1">IF(AG30&lt;&gt;"",
IF(LEFT(AK29,2)="博多",
LEFT(AK29,FIND("週",AK29)-1),
AK29),"")</f>
        <v/>
      </c>
      <c r="AH29" s="89"/>
      <c r="AI29" s="89"/>
      <c r="AJ29" s="89"/>
      <c r="AK29" s="105" t="e" cm="1">
        <f t="array" aca="1" ref="AK29" ca="1">INDIRECT("数出表_Excel!A"&amp;AF29)</f>
        <v>#VALUE!</v>
      </c>
      <c r="AL29" s="75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76" t="e">
        <f t="array" aca="1" ref="AM29" ca="1">GetResult(AL29)</f>
        <v>#VALUE!</v>
      </c>
      <c r="AN29" s="88" t="str">
        <f ca="1">IF(AN30&lt;&gt;"",
IF(LEFT(AR29,2)="博多",
LEFT(AR29,FIND("週",AR29)-1),
AR29),"")</f>
        <v/>
      </c>
      <c r="AO29" s="89"/>
      <c r="AP29" s="89"/>
      <c r="AQ29" s="89"/>
      <c r="AR29" s="105" t="e" cm="1">
        <f t="array" aca="1" ref="AR29" ca="1">INDIRECT("数出表_Excel!A"&amp;AM29)</f>
        <v>#VALUE!</v>
      </c>
      <c r="AS29" s="53"/>
      <c r="AT29" s="75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76" t="e">
        <f t="array" aca="1" ref="AU29" ca="1">GetResult(AT29)</f>
        <v>#VALUE!</v>
      </c>
      <c r="AV29" s="88" t="str">
        <f ca="1">IF(AV30&lt;&gt;"",
IF(LEFT(AZ29,2)="博多",
LEFT(AZ29,FIND("週",AZ29)-1),
AZ29),"")</f>
        <v/>
      </c>
      <c r="AW29" s="89"/>
      <c r="AX29" s="89"/>
      <c r="AY29" s="89"/>
      <c r="AZ29" s="105" t="e" cm="1">
        <f t="array" aca="1" ref="AZ29" ca="1">INDIRECT("数出表_Excel!A"&amp;AU29)</f>
        <v>#VALUE!</v>
      </c>
      <c r="BA29" s="75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76" t="e">
        <f t="array" aca="1" ref="BB29" ca="1">GetResult(BA29)</f>
        <v>#VALUE!</v>
      </c>
      <c r="BC29" s="88" t="str">
        <f ca="1">IF(BC30&lt;&gt;"",
IF(LEFT(BG29,2)="博多",
LEFT(BG29,FIND("週",BG29)-1),
BG29),"")</f>
        <v/>
      </c>
      <c r="BD29" s="89"/>
      <c r="BE29" s="89"/>
      <c r="BF29" s="89"/>
      <c r="BG29" s="105" t="e" cm="1">
        <f t="array" aca="1" ref="BG29" ca="1">INDIRECT("数出表_Excel!A"&amp;BB29)</f>
        <v>#VALUE!</v>
      </c>
      <c r="BH29" s="53"/>
      <c r="BI29" s="75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76" t="e">
        <f t="array" aca="1" ref="BJ29" ca="1">GetResult(BI29)</f>
        <v>#VALUE!</v>
      </c>
      <c r="BK29" s="88" t="str">
        <f ca="1">IF(BK30&lt;&gt;"",
IF(LEFT(BO29,2)="博多",
LEFT(BO29,FIND("週",BO29)-1),
BO29),"")</f>
        <v/>
      </c>
      <c r="BL29" s="89"/>
      <c r="BM29" s="89"/>
      <c r="BN29" s="89"/>
      <c r="BO29" s="105" t="e" cm="1">
        <f t="array" aca="1" ref="BO29" ca="1">INDIRECT("数出表_Excel!A"&amp;BJ29)</f>
        <v>#VALUE!</v>
      </c>
      <c r="BP29" s="75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76" t="e">
        <f t="array" aca="1" ref="BQ29" ca="1">GetResult(BP29)</f>
        <v>#VALUE!</v>
      </c>
      <c r="BR29" s="88" t="str">
        <f ca="1">IF(BR30&lt;&gt;"",
IF(LEFT(BV29,2)="博多",
LEFT(BV29,FIND("週",BV29)-1),
BV29),"")</f>
        <v/>
      </c>
      <c r="BS29" s="89"/>
      <c r="BT29" s="89"/>
      <c r="BU29" s="89"/>
      <c r="BV29" s="105" t="e" cm="1">
        <f t="array" aca="1" ref="BV29" ca="1">INDIRECT("数出表_Excel!A"&amp;BQ29)</f>
        <v>#VALUE!</v>
      </c>
      <c r="BW29" s="53"/>
      <c r="BX29">
        <v>7</v>
      </c>
      <c r="BY29" s="77" t="str" cm="1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77" t="str" cm="1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77" t="str" cm="1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77" t="str" cm="1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77" t="str" cm="1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77" t="str" cm="1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77" t="str" cm="1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77" t="str" cm="1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77" t="str" cm="1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77" t="str" cm="1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77">
        <f t="shared" ca="1" si="0"/>
        <v>0</v>
      </c>
      <c r="CJ29" s="77" t="b" cm="1">
        <f t="array" aca="1" ref="CJ29" ca="1">SUMPRODUCT((LEN(BY29:CH29)&gt;0)*1)&gt;0</f>
        <v>0</v>
      </c>
      <c r="CK29" s="77" t="str">
        <f t="array" aca="1" ref="CK29" ca="1">IFERROR(SMALL(IF(CI$1:CI$100&lt;&gt;0,CI$1:CI$100),ROW(A29)),"")</f>
        <v/>
      </c>
      <c r="CL29" s="77" t="str" cm="1">
        <f t="array" aca="1" ref="CL29" ca="1">IF($CK29&lt;&gt;"",
INDIRECT(""&amp;IF(COLUMN(BY29)&lt;=26,CHAR(COLUMN(BY29)+64),CHAR(INT((COLUMN(BY29)-1)/26)+64)&amp;CHAR(MOD(COLUMN(BY29)-1,26)+65))&amp;$CK29&amp;""),"")</f>
        <v/>
      </c>
      <c r="CM29" s="77" t="str" cm="1">
        <f t="array" aca="1" ref="CM29" ca="1">IF($CK29&lt;&gt;"",
INDIRECT(""&amp;IF(COLUMN(BZ29)&lt;=26,CHAR(COLUMN(BZ29)+64),CHAR(INT((COLUMN(BZ29)-1)/26)+64)&amp;CHAR(MOD(COLUMN(BZ29)-1,26)+65))&amp;$CK29&amp;""),"")</f>
        <v/>
      </c>
      <c r="CN29" s="77" t="str" cm="1">
        <f t="array" aca="1" ref="CN29" ca="1">IF($CK29&lt;&gt;"",
INDIRECT(""&amp;IF(COLUMN(CA29)&lt;=26,CHAR(COLUMN(CA29)+64),CHAR(INT((COLUMN(CA29)-1)/26)+64)&amp;CHAR(MOD(COLUMN(CA29)-1,26)+65))&amp;$CK29&amp;""),"")</f>
        <v/>
      </c>
      <c r="CO29" s="77" t="str" cm="1">
        <f t="array" aca="1" ref="CO29" ca="1">IF($CK29&lt;&gt;"",
INDIRECT(""&amp;IF(COLUMN(CB29)&lt;=26,CHAR(COLUMN(CB29)+64),CHAR(INT((COLUMN(CB29)-1)/26)+64)&amp;CHAR(MOD(COLUMN(CB29)-1,26)+65))&amp;$CK29&amp;""),"")</f>
        <v/>
      </c>
      <c r="CP29" s="77" t="str" cm="1">
        <f t="array" aca="1" ref="CP29" ca="1">IF($CK29&lt;&gt;"",
INDIRECT(""&amp;IF(COLUMN(CC29)&lt;=26,CHAR(COLUMN(CC29)+64),CHAR(INT((COLUMN(CC29)-1)/26)+64)&amp;CHAR(MOD(COLUMN(CC29)-1,26)+65))&amp;$CK29&amp;""),"")</f>
        <v/>
      </c>
      <c r="CQ29" s="77" t="str" cm="1">
        <f t="array" aca="1" ref="CQ29" ca="1">IF($CK29&lt;&gt;"",
INDIRECT(""&amp;IF(COLUMN(CD29)&lt;=26,CHAR(COLUMN(CD29)+64),CHAR(INT((COLUMN(CD29)-1)/26)+64)&amp;CHAR(MOD(COLUMN(CD29)-1,26)+65))&amp;$CK29&amp;""),"")</f>
        <v/>
      </c>
      <c r="CR29" s="77" t="str" cm="1">
        <f t="array" aca="1" ref="CR29" ca="1">IF($CK29&lt;&gt;"",
INDIRECT(""&amp;IF(COLUMN(CE29)&lt;=26,CHAR(COLUMN(CE29)+64),CHAR(INT((COLUMN(CE29)-1)/26)+64)&amp;CHAR(MOD(COLUMN(CE29)-1,26)+65))&amp;$CK29&amp;""),"")</f>
        <v/>
      </c>
      <c r="CS29" s="77" t="str" cm="1">
        <f t="array" aca="1" ref="CS29" ca="1">IF($CK29&lt;&gt;"",
INDIRECT(""&amp;IF(COLUMN(CF29)&lt;=26,CHAR(COLUMN(CF29)+64),CHAR(INT((COLUMN(CF29)-1)/26)+64)&amp;CHAR(MOD(COLUMN(CF29)-1,26)+65))&amp;$CK29&amp;""),"")</f>
        <v/>
      </c>
      <c r="CT29" s="77" t="str" cm="1">
        <f t="array" aca="1" ref="CT29" ca="1">IF($CK29&lt;&gt;"",
INDIRECT(""&amp;IF(COLUMN(CG29)&lt;=26,CHAR(COLUMN(CG29)+64),CHAR(INT((COLUMN(CG29)-1)/26)+64)&amp;CHAR(MOD(COLUMN(CG29)-1,26)+65))&amp;$CK29&amp;""),"")</f>
        <v/>
      </c>
      <c r="CU29" s="77" t="str" cm="1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77" customFormat="1" ht="18" customHeight="1" x14ac:dyDescent="0.55000000000000004">
      <c r="A30" s="75"/>
      <c r="B30" s="7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9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53"/>
      <c r="E30" s="108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8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00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75"/>
      <c r="I30" s="7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9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53"/>
      <c r="L30" s="108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8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00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53"/>
      <c r="P30" s="75"/>
      <c r="Q30" s="7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9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53"/>
      <c r="T30" s="108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8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0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75"/>
      <c r="X30" s="7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9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53"/>
      <c r="AA30" s="108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8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00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53"/>
      <c r="AE30" s="75"/>
      <c r="AF30" s="7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9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53"/>
      <c r="AI30" s="108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8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0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75"/>
      <c r="AM30" s="7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9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53"/>
      <c r="AP30" s="108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8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00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53"/>
      <c r="AT30" s="75"/>
      <c r="AU30" s="7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9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53"/>
      <c r="AX30" s="108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8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0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75"/>
      <c r="BB30" s="7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9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53"/>
      <c r="BE30" s="108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8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00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53"/>
      <c r="BI30" s="75"/>
      <c r="BJ30" s="7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9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53"/>
      <c r="BM30" s="108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8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0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75"/>
      <c r="BQ30" s="7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9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53"/>
      <c r="BT30" s="108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8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00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53"/>
      <c r="BX30" s="77">
        <f>BX26+7</f>
        <v>49</v>
      </c>
      <c r="BY30" s="77" t="str" cm="1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77" t="str" cm="1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77" t="str" cm="1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77" t="str" cm="1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77" t="str" cm="1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77" t="str" cm="1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77" t="str" cm="1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77" t="str" cm="1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77" t="str" cm="1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77" t="str" cm="1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77">
        <f t="shared" ca="1" si="0"/>
        <v>0</v>
      </c>
      <c r="CJ30" s="77" t="b" cm="1">
        <f t="array" aca="1" ref="CJ30" ca="1">SUMPRODUCT((LEN(BY30:CH30)&gt;0)*1)&gt;0</f>
        <v>0</v>
      </c>
      <c r="CK30" s="77" t="str">
        <f t="array" aca="1" ref="CK30" ca="1">IFERROR(SMALL(IF(CI$1:CI$100&lt;&gt;0,CI$1:CI$100),ROW(A30)),"")</f>
        <v/>
      </c>
      <c r="CL30" s="77" t="str" cm="1">
        <f t="array" aca="1" ref="CL30" ca="1">IF($CK30&lt;&gt;"",
INDIRECT(""&amp;IF(COLUMN(BY30)&lt;=26,CHAR(COLUMN(BY30)+64),CHAR(INT((COLUMN(BY30)-1)/26)+64)&amp;CHAR(MOD(COLUMN(BY30)-1,26)+65))&amp;$CK30&amp;""),"")</f>
        <v/>
      </c>
      <c r="CM30" s="77" t="str" cm="1">
        <f t="array" aca="1" ref="CM30" ca="1">IF($CK30&lt;&gt;"",
INDIRECT(""&amp;IF(COLUMN(BZ30)&lt;=26,CHAR(COLUMN(BZ30)+64),CHAR(INT((COLUMN(BZ30)-1)/26)+64)&amp;CHAR(MOD(COLUMN(BZ30)-1,26)+65))&amp;$CK30&amp;""),"")</f>
        <v/>
      </c>
      <c r="CN30" s="77" t="str" cm="1">
        <f t="array" aca="1" ref="CN30" ca="1">IF($CK30&lt;&gt;"",
INDIRECT(""&amp;IF(COLUMN(CA30)&lt;=26,CHAR(COLUMN(CA30)+64),CHAR(INT((COLUMN(CA30)-1)/26)+64)&amp;CHAR(MOD(COLUMN(CA30)-1,26)+65))&amp;$CK30&amp;""),"")</f>
        <v/>
      </c>
      <c r="CO30" s="77" t="str" cm="1">
        <f t="array" aca="1" ref="CO30" ca="1">IF($CK30&lt;&gt;"",
INDIRECT(""&amp;IF(COLUMN(CB30)&lt;=26,CHAR(COLUMN(CB30)+64),CHAR(INT((COLUMN(CB30)-1)/26)+64)&amp;CHAR(MOD(COLUMN(CB30)-1,26)+65))&amp;$CK30&amp;""),"")</f>
        <v/>
      </c>
      <c r="CP30" s="77" t="str" cm="1">
        <f t="array" aca="1" ref="CP30" ca="1">IF($CK30&lt;&gt;"",
INDIRECT(""&amp;IF(COLUMN(CC30)&lt;=26,CHAR(COLUMN(CC30)+64),CHAR(INT((COLUMN(CC30)-1)/26)+64)&amp;CHAR(MOD(COLUMN(CC30)-1,26)+65))&amp;$CK30&amp;""),"")</f>
        <v/>
      </c>
      <c r="CQ30" s="77" t="str" cm="1">
        <f t="array" aca="1" ref="CQ30" ca="1">IF($CK30&lt;&gt;"",
INDIRECT(""&amp;IF(COLUMN(CD30)&lt;=26,CHAR(COLUMN(CD30)+64),CHAR(INT((COLUMN(CD30)-1)/26)+64)&amp;CHAR(MOD(COLUMN(CD30)-1,26)+65))&amp;$CK30&amp;""),"")</f>
        <v/>
      </c>
      <c r="CR30" s="77" t="str" cm="1">
        <f t="array" aca="1" ref="CR30" ca="1">IF($CK30&lt;&gt;"",
INDIRECT(""&amp;IF(COLUMN(CE30)&lt;=26,CHAR(COLUMN(CE30)+64),CHAR(INT((COLUMN(CE30)-1)/26)+64)&amp;CHAR(MOD(COLUMN(CE30)-1,26)+65))&amp;$CK30&amp;""),"")</f>
        <v/>
      </c>
      <c r="CS30" s="77" t="str" cm="1">
        <f t="array" aca="1" ref="CS30" ca="1">IF($CK30&lt;&gt;"",
INDIRECT(""&amp;IF(COLUMN(CF30)&lt;=26,CHAR(COLUMN(CF30)+64),CHAR(INT((COLUMN(CF30)-1)/26)+64)&amp;CHAR(MOD(COLUMN(CF30)-1,26)+65))&amp;$CK30&amp;""),"")</f>
        <v/>
      </c>
      <c r="CT30" s="77" t="str" cm="1">
        <f t="array" aca="1" ref="CT30" ca="1">IF($CK30&lt;&gt;"",
INDIRECT(""&amp;IF(COLUMN(CG30)&lt;=26,CHAR(COLUMN(CG30)+64),CHAR(INT((COLUMN(CG30)-1)/26)+64)&amp;CHAR(MOD(COLUMN(CG30)-1,26)+65))&amp;$CK30&amp;""),"")</f>
        <v/>
      </c>
      <c r="CU30" s="77" t="str" cm="1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77" customFormat="1" ht="22.2" x14ac:dyDescent="0.55000000000000004">
      <c r="A31" s="83"/>
      <c r="B31" s="8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86" t="str">
        <f ca="1">IF(C30&lt;&gt;"",
"園児","")</f>
        <v/>
      </c>
      <c r="D31" s="87"/>
      <c r="E31" s="96" t="str">
        <f ca="1">IF(C30&lt;&gt;"",
"先生","")</f>
        <v/>
      </c>
      <c r="F31" s="87"/>
      <c r="G31" s="101"/>
      <c r="H31" s="83"/>
      <c r="I31" s="8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86" t="str">
        <f ca="1">IF(J30&lt;&gt;"",
"園児","")</f>
        <v/>
      </c>
      <c r="K31" s="87"/>
      <c r="L31" s="96" t="str">
        <f ca="1">IF(J30&lt;&gt;"",
"先生","")</f>
        <v/>
      </c>
      <c r="M31" s="87"/>
      <c r="N31" s="101"/>
      <c r="O31" s="53"/>
      <c r="P31" s="83"/>
      <c r="Q31" s="8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86" t="str">
        <f ca="1">IF(R30&lt;&gt;"",
"園児","")</f>
        <v/>
      </c>
      <c r="S31" s="87"/>
      <c r="T31" s="96" t="str">
        <f ca="1">IF(R30&lt;&gt;"",
"先生","")</f>
        <v/>
      </c>
      <c r="U31" s="87"/>
      <c r="V31" s="101"/>
      <c r="W31" s="83"/>
      <c r="X31" s="8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86" t="str">
        <f ca="1">IF(Y30&lt;&gt;"",
"園児","")</f>
        <v/>
      </c>
      <c r="Z31" s="87"/>
      <c r="AA31" s="96" t="str">
        <f ca="1">IF(Y30&lt;&gt;"",
"先生","")</f>
        <v/>
      </c>
      <c r="AB31" s="87"/>
      <c r="AC31" s="101"/>
      <c r="AD31" s="53"/>
      <c r="AE31" s="83"/>
      <c r="AF31" s="8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86" t="str">
        <f ca="1">IF(AG30&lt;&gt;"",
"園児","")</f>
        <v/>
      </c>
      <c r="AH31" s="87"/>
      <c r="AI31" s="96" t="str">
        <f ca="1">IF(AG30&lt;&gt;"",
"先生","")</f>
        <v/>
      </c>
      <c r="AJ31" s="87"/>
      <c r="AK31" s="101"/>
      <c r="AL31" s="83"/>
      <c r="AM31" s="8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86" t="str">
        <f ca="1">IF(AN30&lt;&gt;"",
"園児","")</f>
        <v/>
      </c>
      <c r="AO31" s="87"/>
      <c r="AP31" s="96" t="str">
        <f ca="1">IF(AN30&lt;&gt;"",
"先生","")</f>
        <v/>
      </c>
      <c r="AQ31" s="87"/>
      <c r="AR31" s="101"/>
      <c r="AS31" s="53"/>
      <c r="AT31" s="83"/>
      <c r="AU31" s="8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86" t="str">
        <f ca="1">IF(AV30&lt;&gt;"",
"園児","")</f>
        <v/>
      </c>
      <c r="AW31" s="87"/>
      <c r="AX31" s="96" t="str">
        <f ca="1">IF(AV30&lt;&gt;"",
"先生","")</f>
        <v/>
      </c>
      <c r="AY31" s="87"/>
      <c r="AZ31" s="101"/>
      <c r="BA31" s="83"/>
      <c r="BB31" s="8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86" t="str">
        <f ca="1">IF(BC30&lt;&gt;"",
"園児","")</f>
        <v/>
      </c>
      <c r="BD31" s="87"/>
      <c r="BE31" s="96" t="str">
        <f ca="1">IF(BC30&lt;&gt;"",
"先生","")</f>
        <v/>
      </c>
      <c r="BF31" s="87"/>
      <c r="BG31" s="101"/>
      <c r="BH31" s="53"/>
      <c r="BI31" s="83"/>
      <c r="BJ31" s="8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86" t="str">
        <f ca="1">IF(BK30&lt;&gt;"",
"園児","")</f>
        <v/>
      </c>
      <c r="BL31" s="87"/>
      <c r="BM31" s="96" t="str">
        <f ca="1">IF(BK30&lt;&gt;"",
"先生","")</f>
        <v/>
      </c>
      <c r="BN31" s="87"/>
      <c r="BO31" s="101"/>
      <c r="BP31" s="83"/>
      <c r="BQ31" s="8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86" t="str">
        <f ca="1">IF(BR30&lt;&gt;"",
"園児","")</f>
        <v/>
      </c>
      <c r="BS31" s="87"/>
      <c r="BT31" s="96" t="str">
        <f ca="1">IF(BR30&lt;&gt;"",
"先生","")</f>
        <v/>
      </c>
      <c r="BU31" s="87"/>
      <c r="BV31" s="101"/>
      <c r="BW31" s="53"/>
      <c r="BX31" s="77">
        <v>7</v>
      </c>
      <c r="BY31" s="77" t="str" cm="1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77" t="str" cm="1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77" t="str" cm="1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77" t="str" cm="1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77" t="str" cm="1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77" t="str" cm="1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77" t="str" cm="1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77" t="str" cm="1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77" t="str" cm="1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77" t="str" cm="1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77">
        <f t="shared" ca="1" si="0"/>
        <v>0</v>
      </c>
      <c r="CJ31" s="77" t="b" cm="1">
        <f t="array" aca="1" ref="CJ31" ca="1">SUMPRODUCT((LEN(BY31:CH31)&gt;0)*1)&gt;0</f>
        <v>0</v>
      </c>
      <c r="CK31" s="77" t="str">
        <f t="array" aca="1" ref="CK31" ca="1">IFERROR(SMALL(IF(CI$1:CI$100&lt;&gt;0,CI$1:CI$100),ROW(A31)),"")</f>
        <v/>
      </c>
      <c r="CL31" s="77" t="str" cm="1">
        <f t="array" aca="1" ref="CL31" ca="1">IF($CK31&lt;&gt;"",
INDIRECT(""&amp;IF(COLUMN(BY31)&lt;=26,CHAR(COLUMN(BY31)+64),CHAR(INT((COLUMN(BY31)-1)/26)+64)&amp;CHAR(MOD(COLUMN(BY31)-1,26)+65))&amp;$CK31&amp;""),"")</f>
        <v/>
      </c>
      <c r="CM31" s="77" t="str" cm="1">
        <f t="array" aca="1" ref="CM31" ca="1">IF($CK31&lt;&gt;"",
INDIRECT(""&amp;IF(COLUMN(BZ31)&lt;=26,CHAR(COLUMN(BZ31)+64),CHAR(INT((COLUMN(BZ31)-1)/26)+64)&amp;CHAR(MOD(COLUMN(BZ31)-1,26)+65))&amp;$CK31&amp;""),"")</f>
        <v/>
      </c>
      <c r="CN31" s="77" t="str" cm="1">
        <f t="array" aca="1" ref="CN31" ca="1">IF($CK31&lt;&gt;"",
INDIRECT(""&amp;IF(COLUMN(CA31)&lt;=26,CHAR(COLUMN(CA31)+64),CHAR(INT((COLUMN(CA31)-1)/26)+64)&amp;CHAR(MOD(COLUMN(CA31)-1,26)+65))&amp;$CK31&amp;""),"")</f>
        <v/>
      </c>
      <c r="CO31" s="77" t="str" cm="1">
        <f t="array" aca="1" ref="CO31" ca="1">IF($CK31&lt;&gt;"",
INDIRECT(""&amp;IF(COLUMN(CB31)&lt;=26,CHAR(COLUMN(CB31)+64),CHAR(INT((COLUMN(CB31)-1)/26)+64)&amp;CHAR(MOD(COLUMN(CB31)-1,26)+65))&amp;$CK31&amp;""),"")</f>
        <v/>
      </c>
      <c r="CP31" s="77" t="str" cm="1">
        <f t="array" aca="1" ref="CP31" ca="1">IF($CK31&lt;&gt;"",
INDIRECT(""&amp;IF(COLUMN(CC31)&lt;=26,CHAR(COLUMN(CC31)+64),CHAR(INT((COLUMN(CC31)-1)/26)+64)&amp;CHAR(MOD(COLUMN(CC31)-1,26)+65))&amp;$CK31&amp;""),"")</f>
        <v/>
      </c>
      <c r="CQ31" s="77" t="str" cm="1">
        <f t="array" aca="1" ref="CQ31" ca="1">IF($CK31&lt;&gt;"",
INDIRECT(""&amp;IF(COLUMN(CD31)&lt;=26,CHAR(COLUMN(CD31)+64),CHAR(INT((COLUMN(CD31)-1)/26)+64)&amp;CHAR(MOD(COLUMN(CD31)-1,26)+65))&amp;$CK31&amp;""),"")</f>
        <v/>
      </c>
      <c r="CR31" s="77" t="str" cm="1">
        <f t="array" aca="1" ref="CR31" ca="1">IF($CK31&lt;&gt;"",
INDIRECT(""&amp;IF(COLUMN(CE31)&lt;=26,CHAR(COLUMN(CE31)+64),CHAR(INT((COLUMN(CE31)-1)/26)+64)&amp;CHAR(MOD(COLUMN(CE31)-1,26)+65))&amp;$CK31&amp;""),"")</f>
        <v/>
      </c>
      <c r="CS31" s="77" t="str" cm="1">
        <f t="array" aca="1" ref="CS31" ca="1">IF($CK31&lt;&gt;"",
INDIRECT(""&amp;IF(COLUMN(CF31)&lt;=26,CHAR(COLUMN(CF31)+64),CHAR(INT((COLUMN(CF31)-1)/26)+64)&amp;CHAR(MOD(COLUMN(CF31)-1,26)+65))&amp;$CK31&amp;""),"")</f>
        <v/>
      </c>
      <c r="CT31" s="77" t="str" cm="1">
        <f t="array" aca="1" ref="CT31" ca="1">IF($CK31&lt;&gt;"",
INDIRECT(""&amp;IF(COLUMN(CG31)&lt;=26,CHAR(COLUMN(CG31)+64),CHAR(INT((COLUMN(CG31)-1)/26)+64)&amp;CHAR(MOD(COLUMN(CG31)-1,26)+65))&amp;$CK31&amp;""),"")</f>
        <v/>
      </c>
      <c r="CU31" s="77" t="str" cm="1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A32" s="58"/>
      <c r="B32" s="57"/>
      <c r="C32" s="90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91"/>
      <c r="E32" s="93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91"/>
      <c r="G32" s="101"/>
      <c r="H32" s="58"/>
      <c r="I32" s="57"/>
      <c r="J32" s="90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91"/>
      <c r="L32" s="93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91"/>
      <c r="N32" s="101"/>
      <c r="P32" s="58"/>
      <c r="Q32" s="57"/>
      <c r="R32" s="90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91"/>
      <c r="T32" s="93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91"/>
      <c r="V32" s="101"/>
      <c r="W32" s="58"/>
      <c r="X32" s="57"/>
      <c r="Y32" s="90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91"/>
      <c r="AA32" s="93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91"/>
      <c r="AC32" s="101"/>
      <c r="AE32" s="58"/>
      <c r="AF32" s="57"/>
      <c r="AG32" s="90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91"/>
      <c r="AI32" s="93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91"/>
      <c r="AK32" s="101"/>
      <c r="AL32" s="58"/>
      <c r="AM32" s="57"/>
      <c r="AN32" s="90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91"/>
      <c r="AP32" s="93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91"/>
      <c r="AR32" s="101"/>
      <c r="AT32" s="58"/>
      <c r="AU32" s="57"/>
      <c r="AV32" s="90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91"/>
      <c r="AX32" s="93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91"/>
      <c r="AZ32" s="101"/>
      <c r="BA32" s="58"/>
      <c r="BB32" s="57"/>
      <c r="BC32" s="90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91"/>
      <c r="BE32" s="93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91"/>
      <c r="BG32" s="101"/>
      <c r="BI32" s="58"/>
      <c r="BJ32" s="57"/>
      <c r="BK32" s="90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91"/>
      <c r="BM32" s="93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91"/>
      <c r="BO32" s="101"/>
      <c r="BP32" s="58"/>
      <c r="BQ32" s="57"/>
      <c r="BR32" s="90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91"/>
      <c r="BT32" s="93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91"/>
      <c r="BV32" s="101"/>
      <c r="BX32" s="77">
        <f>BX28+7</f>
        <v>49</v>
      </c>
      <c r="BY32" s="77" t="str" cm="1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77" t="str" cm="1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77" t="str" cm="1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77" t="str" cm="1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77" t="str" cm="1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77" t="str" cm="1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77" t="str" cm="1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77" t="str" cm="1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77" t="str" cm="1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77" t="str" cm="1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77">
        <f t="shared" ca="1" si="0"/>
        <v>0</v>
      </c>
      <c r="CJ32" s="77" t="b" cm="1">
        <f t="array" aca="1" ref="CJ32" ca="1">SUMPRODUCT((LEN(BY32:CH32)&gt;0)*1)&gt;0</f>
        <v>0</v>
      </c>
      <c r="CK32" s="77" t="str">
        <f t="array" aca="1" ref="CK32" ca="1">IFERROR(SMALL(IF(CI$1:CI$100&lt;&gt;0,CI$1:CI$100),ROW(A32)),"")</f>
        <v/>
      </c>
      <c r="CL32" s="77" t="str" cm="1">
        <f t="array" aca="1" ref="CL32" ca="1">IF($CK32&lt;&gt;"",
INDIRECT(""&amp;IF(COLUMN(BY32)&lt;=26,CHAR(COLUMN(BY32)+64),CHAR(INT((COLUMN(BY32)-1)/26)+64)&amp;CHAR(MOD(COLUMN(BY32)-1,26)+65))&amp;$CK32&amp;""),"")</f>
        <v/>
      </c>
      <c r="CM32" s="77" t="str" cm="1">
        <f t="array" aca="1" ref="CM32" ca="1">IF($CK32&lt;&gt;"",
INDIRECT(""&amp;IF(COLUMN(BZ32)&lt;=26,CHAR(COLUMN(BZ32)+64),CHAR(INT((COLUMN(BZ32)-1)/26)+64)&amp;CHAR(MOD(COLUMN(BZ32)-1,26)+65))&amp;$CK32&amp;""),"")</f>
        <v/>
      </c>
      <c r="CN32" s="77" t="str" cm="1">
        <f t="array" aca="1" ref="CN32" ca="1">IF($CK32&lt;&gt;"",
INDIRECT(""&amp;IF(COLUMN(CA32)&lt;=26,CHAR(COLUMN(CA32)+64),CHAR(INT((COLUMN(CA32)-1)/26)+64)&amp;CHAR(MOD(COLUMN(CA32)-1,26)+65))&amp;$CK32&amp;""),"")</f>
        <v/>
      </c>
      <c r="CO32" s="77" t="str" cm="1">
        <f t="array" aca="1" ref="CO32" ca="1">IF($CK32&lt;&gt;"",
INDIRECT(""&amp;IF(COLUMN(CB32)&lt;=26,CHAR(COLUMN(CB32)+64),CHAR(INT((COLUMN(CB32)-1)/26)+64)&amp;CHAR(MOD(COLUMN(CB32)-1,26)+65))&amp;$CK32&amp;""),"")</f>
        <v/>
      </c>
      <c r="CP32" s="77" t="str" cm="1">
        <f t="array" aca="1" ref="CP32" ca="1">IF($CK32&lt;&gt;"",
INDIRECT(""&amp;IF(COLUMN(CC32)&lt;=26,CHAR(COLUMN(CC32)+64),CHAR(INT((COLUMN(CC32)-1)/26)+64)&amp;CHAR(MOD(COLUMN(CC32)-1,26)+65))&amp;$CK32&amp;""),"")</f>
        <v/>
      </c>
      <c r="CQ32" s="77" t="str" cm="1">
        <f t="array" aca="1" ref="CQ32" ca="1">IF($CK32&lt;&gt;"",
INDIRECT(""&amp;IF(COLUMN(CD32)&lt;=26,CHAR(COLUMN(CD32)+64),CHAR(INT((COLUMN(CD32)-1)/26)+64)&amp;CHAR(MOD(COLUMN(CD32)-1,26)+65))&amp;$CK32&amp;""),"")</f>
        <v/>
      </c>
      <c r="CR32" s="77" t="str" cm="1">
        <f t="array" aca="1" ref="CR32" ca="1">IF($CK32&lt;&gt;"",
INDIRECT(""&amp;IF(COLUMN(CE32)&lt;=26,CHAR(COLUMN(CE32)+64),CHAR(INT((COLUMN(CE32)-1)/26)+64)&amp;CHAR(MOD(COLUMN(CE32)-1,26)+65))&amp;$CK32&amp;""),"")</f>
        <v/>
      </c>
      <c r="CS32" s="77" t="str" cm="1">
        <f t="array" aca="1" ref="CS32" ca="1">IF($CK32&lt;&gt;"",
INDIRECT(""&amp;IF(COLUMN(CF32)&lt;=26,CHAR(COLUMN(CF32)+64),CHAR(INT((COLUMN(CF32)-1)/26)+64)&amp;CHAR(MOD(COLUMN(CF32)-1,26)+65))&amp;$CK32&amp;""),"")</f>
        <v/>
      </c>
      <c r="CT32" s="77" t="str" cm="1">
        <f t="array" aca="1" ref="CT32" ca="1">IF($CK32&lt;&gt;"",
INDIRECT(""&amp;IF(COLUMN(CG32)&lt;=26,CHAR(COLUMN(CG32)+64),CHAR(INT((COLUMN(CG32)-1)/26)+64)&amp;CHAR(MOD(COLUMN(CG32)-1,26)+65))&amp;$CK32&amp;""),"")</f>
        <v/>
      </c>
      <c r="CU32" s="77" t="str" cm="1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A33" s="58"/>
      <c r="B33" s="59"/>
      <c r="C33" s="92"/>
      <c r="D33" s="92"/>
      <c r="E33" s="92"/>
      <c r="F33" s="92"/>
      <c r="G33" s="102"/>
      <c r="H33" s="58"/>
      <c r="I33" s="59"/>
      <c r="J33" s="92"/>
      <c r="K33" s="92"/>
      <c r="L33" s="92"/>
      <c r="M33" s="92"/>
      <c r="N33" s="102"/>
      <c r="P33" s="58"/>
      <c r="Q33" s="59"/>
      <c r="R33" s="92"/>
      <c r="S33" s="92"/>
      <c r="T33" s="92"/>
      <c r="U33" s="92"/>
      <c r="V33" s="102"/>
      <c r="W33" s="58"/>
      <c r="X33" s="59"/>
      <c r="Y33" s="92"/>
      <c r="Z33" s="92"/>
      <c r="AA33" s="92"/>
      <c r="AB33" s="92"/>
      <c r="AC33" s="102"/>
      <c r="AE33" s="58"/>
      <c r="AF33" s="59"/>
      <c r="AG33" s="92"/>
      <c r="AH33" s="92"/>
      <c r="AI33" s="92"/>
      <c r="AJ33" s="92"/>
      <c r="AK33" s="102"/>
      <c r="AL33" s="58"/>
      <c r="AM33" s="59"/>
      <c r="AN33" s="92"/>
      <c r="AO33" s="92"/>
      <c r="AP33" s="92"/>
      <c r="AQ33" s="92"/>
      <c r="AR33" s="102"/>
      <c r="AT33" s="58"/>
      <c r="AU33" s="59"/>
      <c r="AV33" s="92"/>
      <c r="AW33" s="92"/>
      <c r="AX33" s="92"/>
      <c r="AY33" s="92"/>
      <c r="AZ33" s="102"/>
      <c r="BA33" s="58"/>
      <c r="BB33" s="59"/>
      <c r="BC33" s="92"/>
      <c r="BD33" s="92"/>
      <c r="BE33" s="92"/>
      <c r="BF33" s="92"/>
      <c r="BG33" s="102"/>
      <c r="BI33" s="58"/>
      <c r="BJ33" s="59"/>
      <c r="BK33" s="92"/>
      <c r="BL33" s="92"/>
      <c r="BM33" s="92"/>
      <c r="BN33" s="92"/>
      <c r="BO33" s="102"/>
      <c r="BP33" s="58"/>
      <c r="BQ33" s="59"/>
      <c r="BR33" s="92"/>
      <c r="BS33" s="92"/>
      <c r="BT33" s="92"/>
      <c r="BU33" s="92"/>
      <c r="BV33" s="102"/>
      <c r="BX33" s="77">
        <f>BX29+7</f>
        <v>14</v>
      </c>
      <c r="BY33" s="77" t="str" cm="1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77" t="str" cm="1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77" t="str" cm="1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77" t="str" cm="1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77" t="str" cm="1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77" t="str" cm="1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77" t="str" cm="1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77" t="str" cm="1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77" t="str" cm="1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77" t="str" cm="1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77">
        <f t="shared" ca="1" si="0"/>
        <v>0</v>
      </c>
      <c r="CJ33" s="77" t="b" cm="1">
        <f t="array" aca="1" ref="CJ33" ca="1">SUMPRODUCT((LEN(BY33:CH33)&gt;0)*1)&gt;0</f>
        <v>0</v>
      </c>
      <c r="CK33" s="77" t="str">
        <f t="array" aca="1" ref="CK33" ca="1">IFERROR(SMALL(IF(CI$1:CI$100&lt;&gt;0,CI$1:CI$100),ROW(A33)),"")</f>
        <v/>
      </c>
      <c r="CL33" s="77" t="str" cm="1">
        <f t="array" aca="1" ref="CL33" ca="1">IF($CK33&lt;&gt;"",
INDIRECT(""&amp;IF(COLUMN(BY33)&lt;=26,CHAR(COLUMN(BY33)+64),CHAR(INT((COLUMN(BY33)-1)/26)+64)&amp;CHAR(MOD(COLUMN(BY33)-1,26)+65))&amp;$CK33&amp;""),"")</f>
        <v/>
      </c>
      <c r="CM33" s="77" t="str" cm="1">
        <f t="array" aca="1" ref="CM33" ca="1">IF($CK33&lt;&gt;"",
INDIRECT(""&amp;IF(COLUMN(BZ33)&lt;=26,CHAR(COLUMN(BZ33)+64),CHAR(INT((COLUMN(BZ33)-1)/26)+64)&amp;CHAR(MOD(COLUMN(BZ33)-1,26)+65))&amp;$CK33&amp;""),"")</f>
        <v/>
      </c>
      <c r="CN33" s="77" t="str" cm="1">
        <f t="array" aca="1" ref="CN33" ca="1">IF($CK33&lt;&gt;"",
INDIRECT(""&amp;IF(COLUMN(CA33)&lt;=26,CHAR(COLUMN(CA33)+64),CHAR(INT((COLUMN(CA33)-1)/26)+64)&amp;CHAR(MOD(COLUMN(CA33)-1,26)+65))&amp;$CK33&amp;""),"")</f>
        <v/>
      </c>
      <c r="CO33" s="77" t="str" cm="1">
        <f t="array" aca="1" ref="CO33" ca="1">IF($CK33&lt;&gt;"",
INDIRECT(""&amp;IF(COLUMN(CB33)&lt;=26,CHAR(COLUMN(CB33)+64),CHAR(INT((COLUMN(CB33)-1)/26)+64)&amp;CHAR(MOD(COLUMN(CB33)-1,26)+65))&amp;$CK33&amp;""),"")</f>
        <v/>
      </c>
      <c r="CP33" s="77" t="str" cm="1">
        <f t="array" aca="1" ref="CP33" ca="1">IF($CK33&lt;&gt;"",
INDIRECT(""&amp;IF(COLUMN(CC33)&lt;=26,CHAR(COLUMN(CC33)+64),CHAR(INT((COLUMN(CC33)-1)/26)+64)&amp;CHAR(MOD(COLUMN(CC33)-1,26)+65))&amp;$CK33&amp;""),"")</f>
        <v/>
      </c>
      <c r="CQ33" s="77" t="str" cm="1">
        <f t="array" aca="1" ref="CQ33" ca="1">IF($CK33&lt;&gt;"",
INDIRECT(""&amp;IF(COLUMN(CD33)&lt;=26,CHAR(COLUMN(CD33)+64),CHAR(INT((COLUMN(CD33)-1)/26)+64)&amp;CHAR(MOD(COLUMN(CD33)-1,26)+65))&amp;$CK33&amp;""),"")</f>
        <v/>
      </c>
      <c r="CR33" s="77" t="str" cm="1">
        <f t="array" aca="1" ref="CR33" ca="1">IF($CK33&lt;&gt;"",
INDIRECT(""&amp;IF(COLUMN(CE33)&lt;=26,CHAR(COLUMN(CE33)+64),CHAR(INT((COLUMN(CE33)-1)/26)+64)&amp;CHAR(MOD(COLUMN(CE33)-1,26)+65))&amp;$CK33&amp;""),"")</f>
        <v/>
      </c>
      <c r="CS33" s="77" t="str" cm="1">
        <f t="array" aca="1" ref="CS33" ca="1">IF($CK33&lt;&gt;"",
INDIRECT(""&amp;IF(COLUMN(CF33)&lt;=26,CHAR(COLUMN(CF33)+64),CHAR(INT((COLUMN(CF33)-1)/26)+64)&amp;CHAR(MOD(COLUMN(CF33)-1,26)+65))&amp;$CK33&amp;""),"")</f>
        <v/>
      </c>
      <c r="CT33" s="77" t="str" cm="1">
        <f t="array" aca="1" ref="CT33" ca="1">IF($CK33&lt;&gt;"",
INDIRECT(""&amp;IF(COLUMN(CG33)&lt;=26,CHAR(COLUMN(CG33)+64),CHAR(INT((COLUMN(CG33)-1)/26)+64)&amp;CHAR(MOD(COLUMN(CG33)-1,26)+65))&amp;$CK33&amp;""),"")</f>
        <v/>
      </c>
      <c r="CU33" s="77" t="str" cm="1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77" customFormat="1" ht="22.2" x14ac:dyDescent="0.55000000000000004">
      <c r="A34" s="53"/>
      <c r="B34" s="84" t="str">
        <f ca="1">IF(C30&lt;&gt;"",
"パン箱","")</f>
        <v/>
      </c>
      <c r="C34" s="82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84" t="str">
        <f ca="1">IF(C30&lt;&gt;"",
" 端数","")</f>
        <v/>
      </c>
      <c r="E34" s="82"/>
      <c r="F34" s="84" t="str">
        <f ca="1">IF(C30&lt;&gt;"",
"アレルギー","")</f>
        <v/>
      </c>
      <c r="G34" s="101"/>
      <c r="H34" s="53"/>
      <c r="I34" s="84" t="str">
        <f ca="1">IF(J30&lt;&gt;"",
"パン箱","")</f>
        <v/>
      </c>
      <c r="J34" s="82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84" t="str">
        <f ca="1">IF(J30&lt;&gt;"",
" 端数","")</f>
        <v/>
      </c>
      <c r="L34" s="82"/>
      <c r="M34" s="84" t="str">
        <f ca="1">IF(J30&lt;&gt;"",
"アレルギー","")</f>
        <v/>
      </c>
      <c r="N34" s="101"/>
      <c r="O34" s="53"/>
      <c r="P34" s="53"/>
      <c r="Q34" s="84" t="str">
        <f ca="1">IF(R30&lt;&gt;"",
"パン箱","")</f>
        <v/>
      </c>
      <c r="R34" s="82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84" t="str">
        <f ca="1">IF(R30&lt;&gt;"",
" 端数","")</f>
        <v/>
      </c>
      <c r="T34" s="82"/>
      <c r="U34" s="84" t="str">
        <f ca="1">IF(R30&lt;&gt;"",
"アレルギー","")</f>
        <v/>
      </c>
      <c r="V34" s="101"/>
      <c r="W34" s="53"/>
      <c r="X34" s="84" t="str">
        <f ca="1">IF(Y30&lt;&gt;"",
"パン箱","")</f>
        <v/>
      </c>
      <c r="Y34" s="82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84" t="str">
        <f ca="1">IF(Y30&lt;&gt;"",
" 端数","")</f>
        <v/>
      </c>
      <c r="AA34" s="82"/>
      <c r="AB34" s="84" t="str">
        <f ca="1">IF(Y30&lt;&gt;"",
"アレルギー","")</f>
        <v/>
      </c>
      <c r="AC34" s="101"/>
      <c r="AD34" s="53"/>
      <c r="AE34" s="53"/>
      <c r="AF34" s="84" t="str">
        <f ca="1">IF(AG30&lt;&gt;"",
"パン箱","")</f>
        <v/>
      </c>
      <c r="AG34" s="82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84" t="str">
        <f ca="1">IF(AG30&lt;&gt;"",
" 端数","")</f>
        <v/>
      </c>
      <c r="AI34" s="82"/>
      <c r="AJ34" s="84" t="str">
        <f ca="1">IF(AG30&lt;&gt;"",
"アレルギー","")</f>
        <v/>
      </c>
      <c r="AK34" s="101"/>
      <c r="AL34" s="53"/>
      <c r="AM34" s="84" t="str">
        <f ca="1">IF(AN30&lt;&gt;"",
"パン箱","")</f>
        <v/>
      </c>
      <c r="AN34" s="82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84" t="str">
        <f ca="1">IF(AN30&lt;&gt;"",
" 端数","")</f>
        <v/>
      </c>
      <c r="AP34" s="82"/>
      <c r="AQ34" s="84" t="str">
        <f ca="1">IF(AN30&lt;&gt;"",
"アレルギー","")</f>
        <v/>
      </c>
      <c r="AR34" s="101"/>
      <c r="AS34" s="53"/>
      <c r="AT34" s="53"/>
      <c r="AU34" s="84" t="str">
        <f ca="1">IF(AV30&lt;&gt;"",
"パン箱","")</f>
        <v/>
      </c>
      <c r="AV34" s="82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84" t="str">
        <f ca="1">IF(AV30&lt;&gt;"",
" 端数","")</f>
        <v/>
      </c>
      <c r="AX34" s="82"/>
      <c r="AY34" s="84" t="str">
        <f ca="1">IF(AV30&lt;&gt;"",
"アレルギー","")</f>
        <v/>
      </c>
      <c r="AZ34" s="101"/>
      <c r="BA34" s="53"/>
      <c r="BB34" s="84" t="str">
        <f ca="1">IF(BC30&lt;&gt;"",
"パン箱","")</f>
        <v/>
      </c>
      <c r="BC34" s="82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84" t="str">
        <f ca="1">IF(BC30&lt;&gt;"",
" 端数","")</f>
        <v/>
      </c>
      <c r="BE34" s="82"/>
      <c r="BF34" s="84" t="str">
        <f ca="1">IF(BC30&lt;&gt;"",
"アレルギー","")</f>
        <v/>
      </c>
      <c r="BG34" s="101"/>
      <c r="BH34" s="53"/>
      <c r="BI34" s="53"/>
      <c r="BJ34" s="84" t="str">
        <f ca="1">IF(BK30&lt;&gt;"",
"パン箱","")</f>
        <v/>
      </c>
      <c r="BK34" s="82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84" t="str">
        <f ca="1">IF(BK30&lt;&gt;"",
" 端数","")</f>
        <v/>
      </c>
      <c r="BM34" s="82"/>
      <c r="BN34" s="84" t="str">
        <f ca="1">IF(BK30&lt;&gt;"",
"アレルギー","")</f>
        <v/>
      </c>
      <c r="BO34" s="101"/>
      <c r="BP34" s="53"/>
      <c r="BQ34" s="84" t="str">
        <f ca="1">IF(BR30&lt;&gt;"",
"パン箱","")</f>
        <v/>
      </c>
      <c r="BR34" s="82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84" t="str">
        <f ca="1">IF(BR30&lt;&gt;"",
" 端数","")</f>
        <v/>
      </c>
      <c r="BT34" s="82"/>
      <c r="BU34" s="84" t="str">
        <f ca="1">IF(BR30&lt;&gt;"",
"アレルギー","")</f>
        <v/>
      </c>
      <c r="BV34" s="101"/>
      <c r="BW34" s="53"/>
      <c r="BX34" s="77">
        <f>BX30+7</f>
        <v>56</v>
      </c>
      <c r="BY34" s="77" t="str" cm="1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77" t="str" cm="1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77" t="str" cm="1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77" t="str" cm="1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77" t="str" cm="1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77" t="str" cm="1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77" t="str" cm="1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77" t="str" cm="1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77" t="str" cm="1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77" t="str" cm="1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77">
        <f t="shared" ca="1" si="0"/>
        <v>0</v>
      </c>
      <c r="CJ34" s="77" t="b" cm="1">
        <f t="array" aca="1" ref="CJ34" ca="1">SUMPRODUCT((LEN(BY34:CH34)&gt;0)*1)&gt;0</f>
        <v>0</v>
      </c>
      <c r="CK34" s="77" t="str">
        <f t="array" aca="1" ref="CK34" ca="1">IFERROR(SMALL(IF(CI$1:CI$100&lt;&gt;0,CI$1:CI$100),ROW(A34)),"")</f>
        <v/>
      </c>
      <c r="CL34" s="77" t="str" cm="1">
        <f t="array" aca="1" ref="CL34" ca="1">IF($CK34&lt;&gt;"",
INDIRECT(""&amp;IF(COLUMN(BY34)&lt;=26,CHAR(COLUMN(BY34)+64),CHAR(INT((COLUMN(BY34)-1)/26)+64)&amp;CHAR(MOD(COLUMN(BY34)-1,26)+65))&amp;$CK34&amp;""),"")</f>
        <v/>
      </c>
      <c r="CM34" s="77" t="str" cm="1">
        <f t="array" aca="1" ref="CM34" ca="1">IF($CK34&lt;&gt;"",
INDIRECT(""&amp;IF(COLUMN(BZ34)&lt;=26,CHAR(COLUMN(BZ34)+64),CHAR(INT((COLUMN(BZ34)-1)/26)+64)&amp;CHAR(MOD(COLUMN(BZ34)-1,26)+65))&amp;$CK34&amp;""),"")</f>
        <v/>
      </c>
      <c r="CN34" s="77" t="str" cm="1">
        <f t="array" aca="1" ref="CN34" ca="1">IF($CK34&lt;&gt;"",
INDIRECT(""&amp;IF(COLUMN(CA34)&lt;=26,CHAR(COLUMN(CA34)+64),CHAR(INT((COLUMN(CA34)-1)/26)+64)&amp;CHAR(MOD(COLUMN(CA34)-1,26)+65))&amp;$CK34&amp;""),"")</f>
        <v/>
      </c>
      <c r="CO34" s="77" t="str" cm="1">
        <f t="array" aca="1" ref="CO34" ca="1">IF($CK34&lt;&gt;"",
INDIRECT(""&amp;IF(COLUMN(CB34)&lt;=26,CHAR(COLUMN(CB34)+64),CHAR(INT((COLUMN(CB34)-1)/26)+64)&amp;CHAR(MOD(COLUMN(CB34)-1,26)+65))&amp;$CK34&amp;""),"")</f>
        <v/>
      </c>
      <c r="CP34" s="77" t="str" cm="1">
        <f t="array" aca="1" ref="CP34" ca="1">IF($CK34&lt;&gt;"",
INDIRECT(""&amp;IF(COLUMN(CC34)&lt;=26,CHAR(COLUMN(CC34)+64),CHAR(INT((COLUMN(CC34)-1)/26)+64)&amp;CHAR(MOD(COLUMN(CC34)-1,26)+65))&amp;$CK34&amp;""),"")</f>
        <v/>
      </c>
      <c r="CQ34" s="77" t="str" cm="1">
        <f t="array" aca="1" ref="CQ34" ca="1">IF($CK34&lt;&gt;"",
INDIRECT(""&amp;IF(COLUMN(CD34)&lt;=26,CHAR(COLUMN(CD34)+64),CHAR(INT((COLUMN(CD34)-1)/26)+64)&amp;CHAR(MOD(COLUMN(CD34)-1,26)+65))&amp;$CK34&amp;""),"")</f>
        <v/>
      </c>
      <c r="CR34" s="77" t="str" cm="1">
        <f t="array" aca="1" ref="CR34" ca="1">IF($CK34&lt;&gt;"",
INDIRECT(""&amp;IF(COLUMN(CE34)&lt;=26,CHAR(COLUMN(CE34)+64),CHAR(INT((COLUMN(CE34)-1)/26)+64)&amp;CHAR(MOD(COLUMN(CE34)-1,26)+65))&amp;$CK34&amp;""),"")</f>
        <v/>
      </c>
      <c r="CS34" s="77" t="str" cm="1">
        <f t="array" aca="1" ref="CS34" ca="1">IF($CK34&lt;&gt;"",
INDIRECT(""&amp;IF(COLUMN(CF34)&lt;=26,CHAR(COLUMN(CF34)+64),CHAR(INT((COLUMN(CF34)-1)/26)+64)&amp;CHAR(MOD(COLUMN(CF34)-1,26)+65))&amp;$CK34&amp;""),"")</f>
        <v/>
      </c>
      <c r="CT34" s="77" t="str" cm="1">
        <f t="array" aca="1" ref="CT34" ca="1">IF($CK34&lt;&gt;"",
INDIRECT(""&amp;IF(COLUMN(CG34)&lt;=26,CHAR(COLUMN(CG34)+64),CHAR(INT((COLUMN(CG34)-1)/26)+64)&amp;CHAR(MOD(COLUMN(CG34)-1,26)+65))&amp;$CK34&amp;""),"")</f>
        <v/>
      </c>
      <c r="CU34" s="77" t="str" cm="1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97" t="str">
        <f ca="1">IF(C32&lt;&gt;"",
IFERROR(INT(C32/C34),""),"")</f>
        <v/>
      </c>
      <c r="C35" s="95"/>
      <c r="D35" s="97" t="str">
        <f ca="1">IFERROR(MOD(C32,C34),"")</f>
        <v/>
      </c>
      <c r="E35" s="95"/>
      <c r="F35" s="94" t="str">
        <f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"")="",0,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95"/>
      <c r="I35" s="97" t="str">
        <f ca="1">IF(J32&lt;&gt;"",
IFERROR(INT(J32/J34),""),"")</f>
        <v/>
      </c>
      <c r="J35" s="95"/>
      <c r="K35" s="97" t="str">
        <f ca="1">IFERROR(MOD(J32,J34),"")</f>
        <v/>
      </c>
      <c r="L35" s="95"/>
      <c r="M35" s="94" t="str">
        <f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"")="",0,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95"/>
      <c r="Q35" s="97" t="str">
        <f ca="1">IF(R32&lt;&gt;"",
IFERROR(INT(R32/R34),""),"")</f>
        <v/>
      </c>
      <c r="R35" s="95"/>
      <c r="S35" s="97" t="str">
        <f ca="1">IFERROR(MOD(R32,R34),"")</f>
        <v/>
      </c>
      <c r="T35" s="95"/>
      <c r="U35" s="94" t="str">
        <f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"")="",0,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95"/>
      <c r="X35" s="97" t="str">
        <f ca="1">IF(Y32&lt;&gt;"",
IFERROR(INT(Y32/Y34),""),"")</f>
        <v/>
      </c>
      <c r="Y35" s="95"/>
      <c r="Z35" s="97" t="str">
        <f ca="1">IFERROR(MOD(Y32,Y34),"")</f>
        <v/>
      </c>
      <c r="AA35" s="95"/>
      <c r="AB35" s="94" t="str">
        <f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"")="",0,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95"/>
      <c r="AF35" s="97" t="str">
        <f ca="1">IF(AG32&lt;&gt;"",
IFERROR(INT(AG32/AG34),""),"")</f>
        <v/>
      </c>
      <c r="AG35" s="95"/>
      <c r="AH35" s="97" t="str">
        <f ca="1">IFERROR(MOD(AG32,AG34),"")</f>
        <v/>
      </c>
      <c r="AI35" s="95"/>
      <c r="AJ35" s="94" t="str">
        <f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"")="",0,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95"/>
      <c r="AM35" s="97" t="str">
        <f ca="1">IF(AN32&lt;&gt;"",
IFERROR(INT(AN32/AN34),""),"")</f>
        <v/>
      </c>
      <c r="AN35" s="95"/>
      <c r="AO35" s="97" t="str">
        <f ca="1">IFERROR(MOD(AN32,AN34),"")</f>
        <v/>
      </c>
      <c r="AP35" s="95"/>
      <c r="AQ35" s="94" t="str">
        <f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"")="",0,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95"/>
      <c r="AU35" s="97" t="str">
        <f ca="1">IF(AV32&lt;&gt;"",
IFERROR(INT(AV32/AV34),""),"")</f>
        <v/>
      </c>
      <c r="AV35" s="95"/>
      <c r="AW35" s="97" t="str">
        <f ca="1">IFERROR(MOD(AV32,AV34),"")</f>
        <v/>
      </c>
      <c r="AX35" s="95"/>
      <c r="AY35" s="94" t="str">
        <f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"")="",0,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95"/>
      <c r="BB35" s="97" t="str">
        <f ca="1">IF(BC32&lt;&gt;"",
IFERROR(INT(BC32/BC34),""),"")</f>
        <v/>
      </c>
      <c r="BC35" s="95"/>
      <c r="BD35" s="97" t="str">
        <f ca="1">IFERROR(MOD(BC32,BC34),"")</f>
        <v/>
      </c>
      <c r="BE35" s="95"/>
      <c r="BF35" s="94" t="str">
        <f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"")="",0,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95"/>
      <c r="BJ35" s="97" t="str">
        <f ca="1">IF(BK32&lt;&gt;"",
IFERROR(INT(BK32/BK34),""),"")</f>
        <v/>
      </c>
      <c r="BK35" s="95"/>
      <c r="BL35" s="97" t="str">
        <f ca="1">IFERROR(MOD(BK32,BK34),"")</f>
        <v/>
      </c>
      <c r="BM35" s="95"/>
      <c r="BN35" s="94" t="str">
        <f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"")="",0,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95"/>
      <c r="BQ35" s="97" t="str">
        <f ca="1">IF(BR32&lt;&gt;"",
IFERROR(INT(BR32/BR34),""),"")</f>
        <v/>
      </c>
      <c r="BR35" s="95"/>
      <c r="BS35" s="97" t="str">
        <f ca="1">IFERROR(MOD(BR32,BR34),"")</f>
        <v/>
      </c>
      <c r="BT35" s="95"/>
      <c r="BU35" s="94" t="str">
        <f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"")="",0,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95"/>
      <c r="BX35">
        <f>BX31+7</f>
        <v>14</v>
      </c>
      <c r="BY35" s="77" t="str" cm="1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77" t="str" cm="1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77" t="str" cm="1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77" t="str" cm="1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77" t="str" cm="1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77" t="str" cm="1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77" t="str" cm="1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77" t="str" cm="1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77" t="str" cm="1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77" t="str" cm="1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77">
        <f t="shared" ca="1" si="0"/>
        <v>0</v>
      </c>
      <c r="CJ35" s="77" t="b" cm="1">
        <f t="array" aca="1" ref="CJ35" ca="1">SUMPRODUCT((LEN(BY35:CH35)&gt;0)*1)&gt;0</f>
        <v>0</v>
      </c>
      <c r="CK35" s="77" t="str">
        <f t="array" aca="1" ref="CK35" ca="1">IFERROR(SMALL(IF(CI$1:CI$100&lt;&gt;0,CI$1:CI$100),ROW(A35)),"")</f>
        <v/>
      </c>
      <c r="CL35" s="77" t="str" cm="1">
        <f t="array" aca="1" ref="CL35" ca="1">IF($CK35&lt;&gt;"",
INDIRECT(""&amp;IF(COLUMN(BY35)&lt;=26,CHAR(COLUMN(BY35)+64),CHAR(INT((COLUMN(BY35)-1)/26)+64)&amp;CHAR(MOD(COLUMN(BY35)-1,26)+65))&amp;$CK35&amp;""),"")</f>
        <v/>
      </c>
      <c r="CM35" s="77" t="str" cm="1">
        <f t="array" aca="1" ref="CM35" ca="1">IF($CK35&lt;&gt;"",
INDIRECT(""&amp;IF(COLUMN(BZ35)&lt;=26,CHAR(COLUMN(BZ35)+64),CHAR(INT((COLUMN(BZ35)-1)/26)+64)&amp;CHAR(MOD(COLUMN(BZ35)-1,26)+65))&amp;$CK35&amp;""),"")</f>
        <v/>
      </c>
      <c r="CN35" s="77" t="str" cm="1">
        <f t="array" aca="1" ref="CN35" ca="1">IF($CK35&lt;&gt;"",
INDIRECT(""&amp;IF(COLUMN(CA35)&lt;=26,CHAR(COLUMN(CA35)+64),CHAR(INT((COLUMN(CA35)-1)/26)+64)&amp;CHAR(MOD(COLUMN(CA35)-1,26)+65))&amp;$CK35&amp;""),"")</f>
        <v/>
      </c>
      <c r="CO35" s="77" t="str" cm="1">
        <f t="array" aca="1" ref="CO35" ca="1">IF($CK35&lt;&gt;"",
INDIRECT(""&amp;IF(COLUMN(CB35)&lt;=26,CHAR(COLUMN(CB35)+64),CHAR(INT((COLUMN(CB35)-1)/26)+64)&amp;CHAR(MOD(COLUMN(CB35)-1,26)+65))&amp;$CK35&amp;""),"")</f>
        <v/>
      </c>
      <c r="CP35" s="77" t="str" cm="1">
        <f t="array" aca="1" ref="CP35" ca="1">IF($CK35&lt;&gt;"",
INDIRECT(""&amp;IF(COLUMN(CC35)&lt;=26,CHAR(COLUMN(CC35)+64),CHAR(INT((COLUMN(CC35)-1)/26)+64)&amp;CHAR(MOD(COLUMN(CC35)-1,26)+65))&amp;$CK35&amp;""),"")</f>
        <v/>
      </c>
      <c r="CQ35" s="77" t="str" cm="1">
        <f t="array" aca="1" ref="CQ35" ca="1">IF($CK35&lt;&gt;"",
INDIRECT(""&amp;IF(COLUMN(CD35)&lt;=26,CHAR(COLUMN(CD35)+64),CHAR(INT((COLUMN(CD35)-1)/26)+64)&amp;CHAR(MOD(COLUMN(CD35)-1,26)+65))&amp;$CK35&amp;""),"")</f>
        <v/>
      </c>
      <c r="CR35" s="77" t="str" cm="1">
        <f t="array" aca="1" ref="CR35" ca="1">IF($CK35&lt;&gt;"",
INDIRECT(""&amp;IF(COLUMN(CE35)&lt;=26,CHAR(COLUMN(CE35)+64),CHAR(INT((COLUMN(CE35)-1)/26)+64)&amp;CHAR(MOD(COLUMN(CE35)-1,26)+65))&amp;$CK35&amp;""),"")</f>
        <v/>
      </c>
      <c r="CS35" s="77" t="str" cm="1">
        <f t="array" aca="1" ref="CS35" ca="1">IF($CK35&lt;&gt;"",
INDIRECT(""&amp;IF(COLUMN(CF35)&lt;=26,CHAR(COLUMN(CF35)+64),CHAR(INT((COLUMN(CF35)-1)/26)+64)&amp;CHAR(MOD(COLUMN(CF35)-1,26)+65))&amp;$CK35&amp;""),"")</f>
        <v/>
      </c>
      <c r="CT35" s="77" t="str" cm="1">
        <f t="array" aca="1" ref="CT35" ca="1">IF($CK35&lt;&gt;"",
INDIRECT(""&amp;IF(COLUMN(CG35)&lt;=26,CHAR(COLUMN(CG35)+64),CHAR(INT((COLUMN(CG35)-1)/26)+64)&amp;CHAR(MOD(COLUMN(CG35)-1,26)+65))&amp;$CK35&amp;""),"")</f>
        <v/>
      </c>
      <c r="CU35" s="77" t="str" cm="1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77" customFormat="1" ht="19.2" customHeight="1" x14ac:dyDescent="0.55000000000000004">
      <c r="A36" s="75" t="e">
        <f t="array" aca="1" ref="A36" ca="1">IF(LEFT(N29,2)="博多",
IF(LEFT(INDIRECT("数出表_Excel!A"&amp;I29+2),2)="博多",
IF(LEFT(INDIRECT("数出表_Excel!A"&amp;I29+4),2)="博多",
I29+6,
I29+4),
I29+2),
IF(LEFT(N29,3)="奈良屋",
IF(LEFT(INDIRECT("数出表_Excel!A"&amp;I29+2),3)="奈良屋",
IF(LEFT(INDIRECT("数出表_Excel!A"&amp;I29+4),3)="奈良屋",
I29+6,
I29+4),
I29+2),
I29+2))</f>
        <v>#VALUE!</v>
      </c>
      <c r="B36" s="76" t="e">
        <f t="array" aca="1" ref="B36" ca="1">GetResult(A36)</f>
        <v>#VALUE!</v>
      </c>
      <c r="C36" s="88" t="str">
        <f ca="1">IF(C37&lt;&gt;"",
IF(LEFT(G36,2)="博多",
LEFT(G36,FIND("週",G36)-1),
G36),"")</f>
        <v/>
      </c>
      <c r="D36" s="89"/>
      <c r="E36" s="89"/>
      <c r="F36" s="89"/>
      <c r="G36" s="105" t="e" cm="1">
        <f t="array" aca="1" ref="G36" ca="1">INDIRECT("数出表_Excel!A"&amp;B36)</f>
        <v>#VALUE!</v>
      </c>
      <c r="H36" s="75" t="e">
        <f t="array" aca="1" ref="H36" ca="1">IF(LEFT(G36,2)="博多",
IF(LEFT(INDIRECT("数出表_Excel!A"&amp;B36+2),2)="博多",
IF(LEFT(INDIRECT("数出表_Excel!A"&amp;B36+4),2)="博多",
B36+6,
B36+4),
B36+2),
IF(LEFT(G36,3)="奈良屋",
IF(LEFT(INDIRECT("数出表_Excel!A"&amp;B36+2),3)="奈良屋",
IF(LEFT(INDIRECT("数出表_Excel!A"&amp;B36+4),3)="奈良屋",
B36+6,
B36+4),
B36+2),
B36+2))</f>
        <v>#VALUE!</v>
      </c>
      <c r="I36" s="76" t="e">
        <f t="array" aca="1" ref="I36" ca="1">GetResult(H36)</f>
        <v>#VALUE!</v>
      </c>
      <c r="J36" s="88" t="str">
        <f ca="1">IF(J37&lt;&gt;"",
IF(LEFT(N36,2)="博多",
LEFT(N36,FIND("週",N36)-1),
N36),"")</f>
        <v/>
      </c>
      <c r="K36" s="89"/>
      <c r="L36" s="89"/>
      <c r="M36" s="89"/>
      <c r="N36" s="105" t="e" cm="1">
        <f t="array" aca="1" ref="N36" ca="1">INDIRECT("数出表_Excel!A"&amp;I36)</f>
        <v>#VALUE!</v>
      </c>
      <c r="O36" s="53"/>
      <c r="P36" s="75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76" t="e">
        <f t="array" aca="1" ref="Q36" ca="1">GetResult(P36)</f>
        <v>#VALUE!</v>
      </c>
      <c r="R36" s="88" t="str">
        <f ca="1">IF(R37&lt;&gt;"",
IF(LEFT(V36,2)="博多",
LEFT(V36,FIND("週",V36)-1),
V36),"")</f>
        <v/>
      </c>
      <c r="S36" s="89"/>
      <c r="T36" s="89"/>
      <c r="U36" s="89"/>
      <c r="V36" s="105" t="e" cm="1">
        <f t="array" aca="1" ref="V36" ca="1">INDIRECT("数出表_Excel!A"&amp;Q36)</f>
        <v>#VALUE!</v>
      </c>
      <c r="W36" s="75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76" t="e">
        <f t="array" aca="1" ref="X36" ca="1">GetResult(W36)</f>
        <v>#VALUE!</v>
      </c>
      <c r="Y36" s="88" t="str">
        <f ca="1">IF(Y37&lt;&gt;"",
IF(LEFT(AC36,2)="博多",
LEFT(AC36,FIND("週",AC36)-1),
AC36),"")</f>
        <v/>
      </c>
      <c r="Z36" s="89"/>
      <c r="AA36" s="89"/>
      <c r="AB36" s="89"/>
      <c r="AC36" s="105" t="e" cm="1">
        <f t="array" aca="1" ref="AC36" ca="1">INDIRECT("数出表_Excel!A"&amp;X36)</f>
        <v>#VALUE!</v>
      </c>
      <c r="AD36" s="53"/>
      <c r="AE36" s="75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76" t="e">
        <f t="array" aca="1" ref="AF36" ca="1">GetResult(AE36)</f>
        <v>#VALUE!</v>
      </c>
      <c r="AG36" s="88" t="str">
        <f ca="1">IF(AG37&lt;&gt;"",
IF(LEFT(AK36,2)="博多",
LEFT(AK36,FIND("週",AK36)-1),
AK36),"")</f>
        <v/>
      </c>
      <c r="AH36" s="89"/>
      <c r="AI36" s="89"/>
      <c r="AJ36" s="89"/>
      <c r="AK36" s="105" t="e" cm="1">
        <f t="array" aca="1" ref="AK36" ca="1">INDIRECT("数出表_Excel!A"&amp;AF36)</f>
        <v>#VALUE!</v>
      </c>
      <c r="AL36" s="75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76" t="e">
        <f t="array" aca="1" ref="AM36" ca="1">GetResult(AL36)</f>
        <v>#VALUE!</v>
      </c>
      <c r="AN36" s="88" t="str">
        <f ca="1">IF(AN37&lt;&gt;"",
IF(LEFT(AR36,2)="博多",
LEFT(AR36,FIND("週",AR36)-1),
AR36),"")</f>
        <v/>
      </c>
      <c r="AO36" s="89"/>
      <c r="AP36" s="89"/>
      <c r="AQ36" s="89"/>
      <c r="AR36" s="105" t="e" cm="1">
        <f t="array" aca="1" ref="AR36" ca="1">INDIRECT("数出表_Excel!A"&amp;AM36)</f>
        <v>#VALUE!</v>
      </c>
      <c r="AS36" s="53"/>
      <c r="AT36" s="75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76" t="e">
        <f t="array" aca="1" ref="AU36" ca="1">GetResult(AT36)</f>
        <v>#VALUE!</v>
      </c>
      <c r="AV36" s="88" t="str">
        <f ca="1">IF(AV37&lt;&gt;"",
IF(LEFT(AZ36,2)="博多",
LEFT(AZ36,FIND("週",AZ36)-1),
AZ36),"")</f>
        <v/>
      </c>
      <c r="AW36" s="89"/>
      <c r="AX36" s="89"/>
      <c r="AY36" s="89"/>
      <c r="AZ36" s="105" t="e" cm="1">
        <f t="array" aca="1" ref="AZ36" ca="1">INDIRECT("数出表_Excel!A"&amp;AU36)</f>
        <v>#VALUE!</v>
      </c>
      <c r="BA36" s="75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76" t="e">
        <f t="array" aca="1" ref="BB36" ca="1">GetResult(BA36)</f>
        <v>#VALUE!</v>
      </c>
      <c r="BC36" s="88" t="str">
        <f ca="1">IF(BC37&lt;&gt;"",
IF(LEFT(BG36,2)="博多",
LEFT(BG36,FIND("週",BG36)-1),
BG36),"")</f>
        <v/>
      </c>
      <c r="BD36" s="89"/>
      <c r="BE36" s="89"/>
      <c r="BF36" s="89"/>
      <c r="BG36" s="105" t="e" cm="1">
        <f t="array" aca="1" ref="BG36" ca="1">INDIRECT("数出表_Excel!A"&amp;BB36)</f>
        <v>#VALUE!</v>
      </c>
      <c r="BH36" s="53"/>
      <c r="BI36" s="75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76" t="e">
        <f t="array" aca="1" ref="BJ36" ca="1">GetResult(BI36)</f>
        <v>#VALUE!</v>
      </c>
      <c r="BK36" s="88" t="str">
        <f ca="1">IF(BK37&lt;&gt;"",
IF(LEFT(BO36,2)="博多",
LEFT(BO36,FIND("週",BO36)-1),
BO36),"")</f>
        <v/>
      </c>
      <c r="BL36" s="89"/>
      <c r="BM36" s="89"/>
      <c r="BN36" s="89"/>
      <c r="BO36" s="105" t="e" cm="1">
        <f t="array" aca="1" ref="BO36" ca="1">INDIRECT("数出表_Excel!A"&amp;BJ36)</f>
        <v>#VALUE!</v>
      </c>
      <c r="BP36" s="75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76" t="e">
        <f t="array" aca="1" ref="BQ36" ca="1">GetResult(BP36)</f>
        <v>#VALUE!</v>
      </c>
      <c r="BR36" s="88" t="str">
        <f ca="1">IF(BR37&lt;&gt;"",
IF(LEFT(BV36,2)="博多",
LEFT(BV36,FIND("週",BV36)-1),
BV36),"")</f>
        <v/>
      </c>
      <c r="BS36" s="89"/>
      <c r="BT36" s="89"/>
      <c r="BU36" s="89"/>
      <c r="BV36" s="105" t="e" cm="1">
        <f t="array" aca="1" ref="BV36" ca="1">INDIRECT("数出表_Excel!A"&amp;BQ36)</f>
        <v>#VALUE!</v>
      </c>
      <c r="BW36" s="53"/>
      <c r="BX36" s="77">
        <f>BX32+7</f>
        <v>56</v>
      </c>
      <c r="BY36" s="77" t="str" cm="1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77" t="str" cm="1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77" t="str" cm="1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77" t="str" cm="1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77" t="str" cm="1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77" t="str" cm="1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77" t="str" cm="1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77" t="str" cm="1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77" t="str" cm="1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77" t="str" cm="1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77">
        <f t="shared" ca="1" si="0"/>
        <v>0</v>
      </c>
      <c r="CJ36" s="77" t="b" cm="1">
        <f t="array" aca="1" ref="CJ36" ca="1">SUMPRODUCT((LEN(BY36:CH36)&gt;0)*1)&gt;0</f>
        <v>0</v>
      </c>
      <c r="CK36" s="77" t="str">
        <f t="array" aca="1" ref="CK36" ca="1">IFERROR(SMALL(IF(CI$1:CI$100&lt;&gt;0,CI$1:CI$100),ROW(A36)),"")</f>
        <v/>
      </c>
      <c r="CL36" s="77" t="str" cm="1">
        <f t="array" aca="1" ref="CL36" ca="1">IF($CK36&lt;&gt;"",
INDIRECT(""&amp;IF(COLUMN(BY36)&lt;=26,CHAR(COLUMN(BY36)+64),CHAR(INT((COLUMN(BY36)-1)/26)+64)&amp;CHAR(MOD(COLUMN(BY36)-1,26)+65))&amp;$CK36&amp;""),"")</f>
        <v/>
      </c>
      <c r="CM36" s="77" t="str" cm="1">
        <f t="array" aca="1" ref="CM36" ca="1">IF($CK36&lt;&gt;"",
INDIRECT(""&amp;IF(COLUMN(BZ36)&lt;=26,CHAR(COLUMN(BZ36)+64),CHAR(INT((COLUMN(BZ36)-1)/26)+64)&amp;CHAR(MOD(COLUMN(BZ36)-1,26)+65))&amp;$CK36&amp;""),"")</f>
        <v/>
      </c>
      <c r="CN36" s="77" t="str" cm="1">
        <f t="array" aca="1" ref="CN36" ca="1">IF($CK36&lt;&gt;"",
INDIRECT(""&amp;IF(COLUMN(CA36)&lt;=26,CHAR(COLUMN(CA36)+64),CHAR(INT((COLUMN(CA36)-1)/26)+64)&amp;CHAR(MOD(COLUMN(CA36)-1,26)+65))&amp;$CK36&amp;""),"")</f>
        <v/>
      </c>
      <c r="CO36" s="77" t="str" cm="1">
        <f t="array" aca="1" ref="CO36" ca="1">IF($CK36&lt;&gt;"",
INDIRECT(""&amp;IF(COLUMN(CB36)&lt;=26,CHAR(COLUMN(CB36)+64),CHAR(INT((COLUMN(CB36)-1)/26)+64)&amp;CHAR(MOD(COLUMN(CB36)-1,26)+65))&amp;$CK36&amp;""),"")</f>
        <v/>
      </c>
      <c r="CP36" s="77" t="str" cm="1">
        <f t="array" aca="1" ref="CP36" ca="1">IF($CK36&lt;&gt;"",
INDIRECT(""&amp;IF(COLUMN(CC36)&lt;=26,CHAR(COLUMN(CC36)+64),CHAR(INT((COLUMN(CC36)-1)/26)+64)&amp;CHAR(MOD(COLUMN(CC36)-1,26)+65))&amp;$CK36&amp;""),"")</f>
        <v/>
      </c>
      <c r="CQ36" s="77" t="str" cm="1">
        <f t="array" aca="1" ref="CQ36" ca="1">IF($CK36&lt;&gt;"",
INDIRECT(""&amp;IF(COLUMN(CD36)&lt;=26,CHAR(COLUMN(CD36)+64),CHAR(INT((COLUMN(CD36)-1)/26)+64)&amp;CHAR(MOD(COLUMN(CD36)-1,26)+65))&amp;$CK36&amp;""),"")</f>
        <v/>
      </c>
      <c r="CR36" s="77" t="str" cm="1">
        <f t="array" aca="1" ref="CR36" ca="1">IF($CK36&lt;&gt;"",
INDIRECT(""&amp;IF(COLUMN(CE36)&lt;=26,CHAR(COLUMN(CE36)+64),CHAR(INT((COLUMN(CE36)-1)/26)+64)&amp;CHAR(MOD(COLUMN(CE36)-1,26)+65))&amp;$CK36&amp;""),"")</f>
        <v/>
      </c>
      <c r="CS36" s="77" t="str" cm="1">
        <f t="array" aca="1" ref="CS36" ca="1">IF($CK36&lt;&gt;"",
INDIRECT(""&amp;IF(COLUMN(CF36)&lt;=26,CHAR(COLUMN(CF36)+64),CHAR(INT((COLUMN(CF36)-1)/26)+64)&amp;CHAR(MOD(COLUMN(CF36)-1,26)+65))&amp;$CK36&amp;""),"")</f>
        <v/>
      </c>
      <c r="CT36" s="77" t="str" cm="1">
        <f t="array" aca="1" ref="CT36" ca="1">IF($CK36&lt;&gt;"",
INDIRECT(""&amp;IF(COLUMN(CG36)&lt;=26,CHAR(COLUMN(CG36)+64),CHAR(INT((COLUMN(CG36)-1)/26)+64)&amp;CHAR(MOD(COLUMN(CG36)-1,26)+65))&amp;$CK36&amp;""),"")</f>
        <v/>
      </c>
      <c r="CU36" s="77" t="str" cm="1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77" customFormat="1" ht="19.2" customHeight="1" x14ac:dyDescent="0.55000000000000004">
      <c r="A37" s="75"/>
      <c r="B37" s="7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9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53"/>
      <c r="E37" s="108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8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00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75"/>
      <c r="I37" s="7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9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53"/>
      <c r="L37" s="108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8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00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53"/>
      <c r="P37" s="75"/>
      <c r="Q37" s="7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9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53"/>
      <c r="T37" s="108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8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0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75"/>
      <c r="X37" s="7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9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53"/>
      <c r="AA37" s="108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8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00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53"/>
      <c r="AE37" s="75"/>
      <c r="AF37" s="7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9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53"/>
      <c r="AI37" s="108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8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0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75"/>
      <c r="AM37" s="7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9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53"/>
      <c r="AP37" s="108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8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00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53"/>
      <c r="AT37" s="75"/>
      <c r="AU37" s="7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9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53"/>
      <c r="AX37" s="108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8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0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75"/>
      <c r="BB37" s="7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9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53"/>
      <c r="BE37" s="108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8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00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53"/>
      <c r="BI37" s="75"/>
      <c r="BJ37" s="7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9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53"/>
      <c r="BM37" s="108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8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0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75"/>
      <c r="BQ37" s="7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9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53"/>
      <c r="BT37" s="108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8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00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53"/>
      <c r="BX37" s="77">
        <f>BX33+7</f>
        <v>21</v>
      </c>
      <c r="BY37" s="77" t="str" cm="1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77" t="str" cm="1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77" t="str" cm="1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77" t="str" cm="1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77" t="str" cm="1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77" t="str" cm="1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77" t="str" cm="1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77" t="str" cm="1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77" t="str" cm="1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77" t="str" cm="1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77">
        <f t="shared" ca="1" si="0"/>
        <v>0</v>
      </c>
      <c r="CJ37" s="77" t="b" cm="1">
        <f t="array" aca="1" ref="CJ37" ca="1">SUMPRODUCT((LEN(BY37:CH37)&gt;0)*1)&gt;0</f>
        <v>0</v>
      </c>
      <c r="CK37" s="77" t="str">
        <f t="array" aca="1" ref="CK37" ca="1">IFERROR(SMALL(IF(CI$1:CI$100&lt;&gt;0,CI$1:CI$100),ROW(A37)),"")</f>
        <v/>
      </c>
      <c r="CL37" s="77" t="str" cm="1">
        <f t="array" aca="1" ref="CL37" ca="1">IF($CK37&lt;&gt;"",
INDIRECT(""&amp;IF(COLUMN(BY37)&lt;=26,CHAR(COLUMN(BY37)+64),CHAR(INT((COLUMN(BY37)-1)/26)+64)&amp;CHAR(MOD(COLUMN(BY37)-1,26)+65))&amp;$CK37&amp;""),"")</f>
        <v/>
      </c>
      <c r="CM37" s="77" t="str" cm="1">
        <f t="array" aca="1" ref="CM37" ca="1">IF($CK37&lt;&gt;"",
INDIRECT(""&amp;IF(COLUMN(BZ37)&lt;=26,CHAR(COLUMN(BZ37)+64),CHAR(INT((COLUMN(BZ37)-1)/26)+64)&amp;CHAR(MOD(COLUMN(BZ37)-1,26)+65))&amp;$CK37&amp;""),"")</f>
        <v/>
      </c>
      <c r="CN37" s="77" t="str" cm="1">
        <f t="array" aca="1" ref="CN37" ca="1">IF($CK37&lt;&gt;"",
INDIRECT(""&amp;IF(COLUMN(CA37)&lt;=26,CHAR(COLUMN(CA37)+64),CHAR(INT((COLUMN(CA37)-1)/26)+64)&amp;CHAR(MOD(COLUMN(CA37)-1,26)+65))&amp;$CK37&amp;""),"")</f>
        <v/>
      </c>
      <c r="CO37" s="77" t="str" cm="1">
        <f t="array" aca="1" ref="CO37" ca="1">IF($CK37&lt;&gt;"",
INDIRECT(""&amp;IF(COLUMN(CB37)&lt;=26,CHAR(COLUMN(CB37)+64),CHAR(INT((COLUMN(CB37)-1)/26)+64)&amp;CHAR(MOD(COLUMN(CB37)-1,26)+65))&amp;$CK37&amp;""),"")</f>
        <v/>
      </c>
      <c r="CP37" s="77" t="str" cm="1">
        <f t="array" aca="1" ref="CP37" ca="1">IF($CK37&lt;&gt;"",
INDIRECT(""&amp;IF(COLUMN(CC37)&lt;=26,CHAR(COLUMN(CC37)+64),CHAR(INT((COLUMN(CC37)-1)/26)+64)&amp;CHAR(MOD(COLUMN(CC37)-1,26)+65))&amp;$CK37&amp;""),"")</f>
        <v/>
      </c>
      <c r="CQ37" s="77" t="str" cm="1">
        <f t="array" aca="1" ref="CQ37" ca="1">IF($CK37&lt;&gt;"",
INDIRECT(""&amp;IF(COLUMN(CD37)&lt;=26,CHAR(COLUMN(CD37)+64),CHAR(INT((COLUMN(CD37)-1)/26)+64)&amp;CHAR(MOD(COLUMN(CD37)-1,26)+65))&amp;$CK37&amp;""),"")</f>
        <v/>
      </c>
      <c r="CR37" s="77" t="str" cm="1">
        <f t="array" aca="1" ref="CR37" ca="1">IF($CK37&lt;&gt;"",
INDIRECT(""&amp;IF(COLUMN(CE37)&lt;=26,CHAR(COLUMN(CE37)+64),CHAR(INT((COLUMN(CE37)-1)/26)+64)&amp;CHAR(MOD(COLUMN(CE37)-1,26)+65))&amp;$CK37&amp;""),"")</f>
        <v/>
      </c>
      <c r="CS37" s="77" t="str" cm="1">
        <f t="array" aca="1" ref="CS37" ca="1">IF($CK37&lt;&gt;"",
INDIRECT(""&amp;IF(COLUMN(CF37)&lt;=26,CHAR(COLUMN(CF37)+64),CHAR(INT((COLUMN(CF37)-1)/26)+64)&amp;CHAR(MOD(COLUMN(CF37)-1,26)+65))&amp;$CK37&amp;""),"")</f>
        <v/>
      </c>
      <c r="CT37" s="77" t="str" cm="1">
        <f t="array" aca="1" ref="CT37" ca="1">IF($CK37&lt;&gt;"",
INDIRECT(""&amp;IF(COLUMN(CG37)&lt;=26,CHAR(COLUMN(CG37)+64),CHAR(INT((COLUMN(CG37)-1)/26)+64)&amp;CHAR(MOD(COLUMN(CG37)-1,26)+65))&amp;$CK37&amp;""),"")</f>
        <v/>
      </c>
      <c r="CU37" s="77" t="str" cm="1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77" customFormat="1" ht="22.2" x14ac:dyDescent="0.55000000000000004">
      <c r="A38" s="83"/>
      <c r="B38" s="8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86" t="str">
        <f ca="1">IF(C37&lt;&gt;"",
"園児","")</f>
        <v/>
      </c>
      <c r="D38" s="87"/>
      <c r="E38" s="96" t="str">
        <f ca="1">IF(C37&lt;&gt;"",
"先生","")</f>
        <v/>
      </c>
      <c r="F38" s="87"/>
      <c r="G38" s="101"/>
      <c r="H38" s="83"/>
      <c r="I38" s="8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86" t="str">
        <f ca="1">IF(J37&lt;&gt;"",
"園児","")</f>
        <v/>
      </c>
      <c r="K38" s="87"/>
      <c r="L38" s="96" t="str">
        <f ca="1">IF(J37&lt;&gt;"",
"先生","")</f>
        <v/>
      </c>
      <c r="M38" s="87"/>
      <c r="N38" s="101"/>
      <c r="O38" s="53"/>
      <c r="P38" s="83"/>
      <c r="Q38" s="8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86" t="str">
        <f ca="1">IF(R37&lt;&gt;"",
"園児","")</f>
        <v/>
      </c>
      <c r="S38" s="87"/>
      <c r="T38" s="96" t="str">
        <f ca="1">IF(R37&lt;&gt;"",
"先生","")</f>
        <v/>
      </c>
      <c r="U38" s="87"/>
      <c r="V38" s="101"/>
      <c r="W38" s="83"/>
      <c r="X38" s="8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86" t="str">
        <f ca="1">IF(Y37&lt;&gt;"",
"園児","")</f>
        <v/>
      </c>
      <c r="Z38" s="87"/>
      <c r="AA38" s="96" t="str">
        <f ca="1">IF(Y37&lt;&gt;"",
"先生","")</f>
        <v/>
      </c>
      <c r="AB38" s="87"/>
      <c r="AC38" s="101"/>
      <c r="AD38" s="53"/>
      <c r="AE38" s="83"/>
      <c r="AF38" s="8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86" t="str">
        <f ca="1">IF(AG37&lt;&gt;"",
"園児","")</f>
        <v/>
      </c>
      <c r="AH38" s="87"/>
      <c r="AI38" s="96" t="str">
        <f ca="1">IF(AG37&lt;&gt;"",
"先生","")</f>
        <v/>
      </c>
      <c r="AJ38" s="87"/>
      <c r="AK38" s="101"/>
      <c r="AL38" s="83"/>
      <c r="AM38" s="8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86" t="str">
        <f ca="1">IF(AN37&lt;&gt;"",
"園児","")</f>
        <v/>
      </c>
      <c r="AO38" s="87"/>
      <c r="AP38" s="96" t="str">
        <f ca="1">IF(AN37&lt;&gt;"",
"先生","")</f>
        <v/>
      </c>
      <c r="AQ38" s="87"/>
      <c r="AR38" s="101"/>
      <c r="AS38" s="53"/>
      <c r="AT38" s="83"/>
      <c r="AU38" s="8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86" t="str">
        <f ca="1">IF(AV37&lt;&gt;"",
"園児","")</f>
        <v/>
      </c>
      <c r="AW38" s="87"/>
      <c r="AX38" s="96" t="str">
        <f ca="1">IF(AV37&lt;&gt;"",
"先生","")</f>
        <v/>
      </c>
      <c r="AY38" s="87"/>
      <c r="AZ38" s="101"/>
      <c r="BA38" s="83"/>
      <c r="BB38" s="8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86" t="str">
        <f ca="1">IF(BC37&lt;&gt;"",
"園児","")</f>
        <v/>
      </c>
      <c r="BD38" s="87"/>
      <c r="BE38" s="96" t="str">
        <f ca="1">IF(BC37&lt;&gt;"",
"先生","")</f>
        <v/>
      </c>
      <c r="BF38" s="87"/>
      <c r="BG38" s="101"/>
      <c r="BH38" s="53"/>
      <c r="BI38" s="83"/>
      <c r="BJ38" s="8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86" t="str">
        <f ca="1">IF(BK37&lt;&gt;"",
"園児","")</f>
        <v/>
      </c>
      <c r="BL38" s="87"/>
      <c r="BM38" s="96" t="str">
        <f ca="1">IF(BK37&lt;&gt;"",
"先生","")</f>
        <v/>
      </c>
      <c r="BN38" s="87"/>
      <c r="BO38" s="101"/>
      <c r="BP38" s="83"/>
      <c r="BQ38" s="8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86" t="str">
        <f ca="1">IF(BR37&lt;&gt;"",
"園児","")</f>
        <v/>
      </c>
      <c r="BS38" s="87"/>
      <c r="BT38" s="96" t="str">
        <f ca="1">IF(BR37&lt;&gt;"",
"先生","")</f>
        <v/>
      </c>
      <c r="BU38" s="87"/>
      <c r="BV38" s="101"/>
      <c r="BW38" s="53"/>
      <c r="BX38" s="77">
        <f>BX34+7</f>
        <v>63</v>
      </c>
      <c r="BY38" s="77" t="str" cm="1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77" t="str" cm="1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77" t="str" cm="1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77" t="str" cm="1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77" t="str" cm="1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77" t="str" cm="1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77" t="str" cm="1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77" t="str" cm="1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77" t="str" cm="1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77" t="str" cm="1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77">
        <f t="shared" ca="1" si="0"/>
        <v>0</v>
      </c>
      <c r="CJ38" s="77" t="b" cm="1">
        <f t="array" aca="1" ref="CJ38" ca="1">SUMPRODUCT((LEN(BY38:CH38)&gt;0)*1)&gt;0</f>
        <v>0</v>
      </c>
      <c r="CK38" s="77" t="str">
        <f t="array" aca="1" ref="CK38" ca="1">IFERROR(SMALL(IF(CI$1:CI$100&lt;&gt;0,CI$1:CI$100),ROW(A38)),"")</f>
        <v/>
      </c>
      <c r="CL38" s="77" t="str" cm="1">
        <f t="array" aca="1" ref="CL38" ca="1">IF($CK38&lt;&gt;"",
INDIRECT(""&amp;IF(COLUMN(BY38)&lt;=26,CHAR(COLUMN(BY38)+64),CHAR(INT((COLUMN(BY38)-1)/26)+64)&amp;CHAR(MOD(COLUMN(BY38)-1,26)+65))&amp;$CK38&amp;""),"")</f>
        <v/>
      </c>
      <c r="CM38" s="77" t="str" cm="1">
        <f t="array" aca="1" ref="CM38" ca="1">IF($CK38&lt;&gt;"",
INDIRECT(""&amp;IF(COLUMN(BZ38)&lt;=26,CHAR(COLUMN(BZ38)+64),CHAR(INT((COLUMN(BZ38)-1)/26)+64)&amp;CHAR(MOD(COLUMN(BZ38)-1,26)+65))&amp;$CK38&amp;""),"")</f>
        <v/>
      </c>
      <c r="CN38" s="77" t="str" cm="1">
        <f t="array" aca="1" ref="CN38" ca="1">IF($CK38&lt;&gt;"",
INDIRECT(""&amp;IF(COLUMN(CA38)&lt;=26,CHAR(COLUMN(CA38)+64),CHAR(INT((COLUMN(CA38)-1)/26)+64)&amp;CHAR(MOD(COLUMN(CA38)-1,26)+65))&amp;$CK38&amp;""),"")</f>
        <v/>
      </c>
      <c r="CO38" s="77" t="str" cm="1">
        <f t="array" aca="1" ref="CO38" ca="1">IF($CK38&lt;&gt;"",
INDIRECT(""&amp;IF(COLUMN(CB38)&lt;=26,CHAR(COLUMN(CB38)+64),CHAR(INT((COLUMN(CB38)-1)/26)+64)&amp;CHAR(MOD(COLUMN(CB38)-1,26)+65))&amp;$CK38&amp;""),"")</f>
        <v/>
      </c>
      <c r="CP38" s="77" t="str" cm="1">
        <f t="array" aca="1" ref="CP38" ca="1">IF($CK38&lt;&gt;"",
INDIRECT(""&amp;IF(COLUMN(CC38)&lt;=26,CHAR(COLUMN(CC38)+64),CHAR(INT((COLUMN(CC38)-1)/26)+64)&amp;CHAR(MOD(COLUMN(CC38)-1,26)+65))&amp;$CK38&amp;""),"")</f>
        <v/>
      </c>
      <c r="CQ38" s="77" t="str" cm="1">
        <f t="array" aca="1" ref="CQ38" ca="1">IF($CK38&lt;&gt;"",
INDIRECT(""&amp;IF(COLUMN(CD38)&lt;=26,CHAR(COLUMN(CD38)+64),CHAR(INT((COLUMN(CD38)-1)/26)+64)&amp;CHAR(MOD(COLUMN(CD38)-1,26)+65))&amp;$CK38&amp;""),"")</f>
        <v/>
      </c>
      <c r="CR38" s="77" t="str" cm="1">
        <f t="array" aca="1" ref="CR38" ca="1">IF($CK38&lt;&gt;"",
INDIRECT(""&amp;IF(COLUMN(CE38)&lt;=26,CHAR(COLUMN(CE38)+64),CHAR(INT((COLUMN(CE38)-1)/26)+64)&amp;CHAR(MOD(COLUMN(CE38)-1,26)+65))&amp;$CK38&amp;""),"")</f>
        <v/>
      </c>
      <c r="CS38" s="77" t="str" cm="1">
        <f t="array" aca="1" ref="CS38" ca="1">IF($CK38&lt;&gt;"",
INDIRECT(""&amp;IF(COLUMN(CF38)&lt;=26,CHAR(COLUMN(CF38)+64),CHAR(INT((COLUMN(CF38)-1)/26)+64)&amp;CHAR(MOD(COLUMN(CF38)-1,26)+65))&amp;$CK38&amp;""),"")</f>
        <v/>
      </c>
      <c r="CT38" s="77" t="str" cm="1">
        <f t="array" aca="1" ref="CT38" ca="1">IF($CK38&lt;&gt;"",
INDIRECT(""&amp;IF(COLUMN(CG38)&lt;=26,CHAR(COLUMN(CG38)+64),CHAR(INT((COLUMN(CG38)-1)/26)+64)&amp;CHAR(MOD(COLUMN(CG38)-1,26)+65))&amp;$CK38&amp;""),"")</f>
        <v/>
      </c>
      <c r="CU38" s="77" t="str" cm="1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A39" s="58"/>
      <c r="B39" s="57"/>
      <c r="C39" s="90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91"/>
      <c r="E39" s="93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91"/>
      <c r="G39" s="101"/>
      <c r="H39" s="58"/>
      <c r="I39" s="57"/>
      <c r="J39" s="90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91"/>
      <c r="L39" s="93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91"/>
      <c r="N39" s="101"/>
      <c r="P39" s="58"/>
      <c r="Q39" s="57"/>
      <c r="R39" s="90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91"/>
      <c r="T39" s="93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91"/>
      <c r="V39" s="101"/>
      <c r="W39" s="58"/>
      <c r="X39" s="57"/>
      <c r="Y39" s="90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91"/>
      <c r="AA39" s="93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91"/>
      <c r="AC39" s="101"/>
      <c r="AE39" s="58"/>
      <c r="AF39" s="57"/>
      <c r="AG39" s="90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91"/>
      <c r="AI39" s="93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91"/>
      <c r="AK39" s="101"/>
      <c r="AL39" s="58"/>
      <c r="AM39" s="57"/>
      <c r="AN39" s="90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91"/>
      <c r="AP39" s="93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91"/>
      <c r="AR39" s="101"/>
      <c r="AT39" s="58"/>
      <c r="AU39" s="57"/>
      <c r="AV39" s="90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91"/>
      <c r="AX39" s="93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91"/>
      <c r="AZ39" s="101"/>
      <c r="BA39" s="58"/>
      <c r="BB39" s="57"/>
      <c r="BC39" s="90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91"/>
      <c r="BE39" s="93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91"/>
      <c r="BG39" s="101"/>
      <c r="BI39" s="58"/>
      <c r="BJ39" s="57"/>
      <c r="BK39" s="90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91"/>
      <c r="BM39" s="93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91"/>
      <c r="BO39" s="101"/>
      <c r="BP39" s="58"/>
      <c r="BQ39" s="57"/>
      <c r="BR39" s="90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91"/>
      <c r="BT39" s="93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91"/>
      <c r="BV39" s="101"/>
      <c r="BX39">
        <f>BX35+7</f>
        <v>21</v>
      </c>
      <c r="BY39" s="77" t="str" cm="1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77" t="str" cm="1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77" t="str" cm="1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77" t="str" cm="1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77" t="str" cm="1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77" t="str" cm="1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77" t="str" cm="1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77" t="str" cm="1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77" t="str" cm="1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77" t="str" cm="1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77">
        <f t="shared" ca="1" si="0"/>
        <v>0</v>
      </c>
      <c r="CJ39" s="77" t="b" cm="1">
        <f t="array" aca="1" ref="CJ39" ca="1">SUMPRODUCT((LEN(BY39:CH39)&gt;0)*1)&gt;0</f>
        <v>0</v>
      </c>
      <c r="CK39" s="77" t="str">
        <f t="array" aca="1" ref="CK39" ca="1">IFERROR(SMALL(IF(CI$1:CI$100&lt;&gt;0,CI$1:CI$100),ROW(A39)),"")</f>
        <v/>
      </c>
      <c r="CL39" s="77" t="str" cm="1">
        <f t="array" aca="1" ref="CL39" ca="1">IF($CK39&lt;&gt;"",
INDIRECT(""&amp;IF(COLUMN(BY39)&lt;=26,CHAR(COLUMN(BY39)+64),CHAR(INT((COLUMN(BY39)-1)/26)+64)&amp;CHAR(MOD(COLUMN(BY39)-1,26)+65))&amp;$CK39&amp;""),"")</f>
        <v/>
      </c>
      <c r="CM39" s="77" t="str" cm="1">
        <f t="array" aca="1" ref="CM39" ca="1">IF($CK39&lt;&gt;"",
INDIRECT(""&amp;IF(COLUMN(BZ39)&lt;=26,CHAR(COLUMN(BZ39)+64),CHAR(INT((COLUMN(BZ39)-1)/26)+64)&amp;CHAR(MOD(COLUMN(BZ39)-1,26)+65))&amp;$CK39&amp;""),"")</f>
        <v/>
      </c>
      <c r="CN39" s="77" t="str" cm="1">
        <f t="array" aca="1" ref="CN39" ca="1">IF($CK39&lt;&gt;"",
INDIRECT(""&amp;IF(COLUMN(CA39)&lt;=26,CHAR(COLUMN(CA39)+64),CHAR(INT((COLUMN(CA39)-1)/26)+64)&amp;CHAR(MOD(COLUMN(CA39)-1,26)+65))&amp;$CK39&amp;""),"")</f>
        <v/>
      </c>
      <c r="CO39" s="77" t="str" cm="1">
        <f t="array" aca="1" ref="CO39" ca="1">IF($CK39&lt;&gt;"",
INDIRECT(""&amp;IF(COLUMN(CB39)&lt;=26,CHAR(COLUMN(CB39)+64),CHAR(INT((COLUMN(CB39)-1)/26)+64)&amp;CHAR(MOD(COLUMN(CB39)-1,26)+65))&amp;$CK39&amp;""),"")</f>
        <v/>
      </c>
      <c r="CP39" s="77" t="str" cm="1">
        <f t="array" aca="1" ref="CP39" ca="1">IF($CK39&lt;&gt;"",
INDIRECT(""&amp;IF(COLUMN(CC39)&lt;=26,CHAR(COLUMN(CC39)+64),CHAR(INT((COLUMN(CC39)-1)/26)+64)&amp;CHAR(MOD(COLUMN(CC39)-1,26)+65))&amp;$CK39&amp;""),"")</f>
        <v/>
      </c>
      <c r="CQ39" s="77" t="str" cm="1">
        <f t="array" aca="1" ref="CQ39" ca="1">IF($CK39&lt;&gt;"",
INDIRECT(""&amp;IF(COLUMN(CD39)&lt;=26,CHAR(COLUMN(CD39)+64),CHAR(INT((COLUMN(CD39)-1)/26)+64)&amp;CHAR(MOD(COLUMN(CD39)-1,26)+65))&amp;$CK39&amp;""),"")</f>
        <v/>
      </c>
      <c r="CR39" s="77" t="str" cm="1">
        <f t="array" aca="1" ref="CR39" ca="1">IF($CK39&lt;&gt;"",
INDIRECT(""&amp;IF(COLUMN(CE39)&lt;=26,CHAR(COLUMN(CE39)+64),CHAR(INT((COLUMN(CE39)-1)/26)+64)&amp;CHAR(MOD(COLUMN(CE39)-1,26)+65))&amp;$CK39&amp;""),"")</f>
        <v/>
      </c>
      <c r="CS39" s="77" t="str" cm="1">
        <f t="array" aca="1" ref="CS39" ca="1">IF($CK39&lt;&gt;"",
INDIRECT(""&amp;IF(COLUMN(CF39)&lt;=26,CHAR(COLUMN(CF39)+64),CHAR(INT((COLUMN(CF39)-1)/26)+64)&amp;CHAR(MOD(COLUMN(CF39)-1,26)+65))&amp;$CK39&amp;""),"")</f>
        <v/>
      </c>
      <c r="CT39" s="77" t="str" cm="1">
        <f t="array" aca="1" ref="CT39" ca="1">IF($CK39&lt;&gt;"",
INDIRECT(""&amp;IF(COLUMN(CG39)&lt;=26,CHAR(COLUMN(CG39)+64),CHAR(INT((COLUMN(CG39)-1)/26)+64)&amp;CHAR(MOD(COLUMN(CG39)-1,26)+65))&amp;$CK39&amp;""),"")</f>
        <v/>
      </c>
      <c r="CU39" s="77" t="str" cm="1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A40" s="58"/>
      <c r="B40" s="59"/>
      <c r="C40" s="92"/>
      <c r="D40" s="92"/>
      <c r="E40" s="92"/>
      <c r="F40" s="92"/>
      <c r="G40" s="102"/>
      <c r="H40" s="58"/>
      <c r="I40" s="59"/>
      <c r="J40" s="92"/>
      <c r="K40" s="92"/>
      <c r="L40" s="92"/>
      <c r="M40" s="92"/>
      <c r="N40" s="102"/>
      <c r="P40" s="58"/>
      <c r="Q40" s="59"/>
      <c r="R40" s="92"/>
      <c r="S40" s="92"/>
      <c r="T40" s="92"/>
      <c r="U40" s="92"/>
      <c r="V40" s="102"/>
      <c r="W40" s="58"/>
      <c r="X40" s="59"/>
      <c r="Y40" s="92"/>
      <c r="Z40" s="92"/>
      <c r="AA40" s="92"/>
      <c r="AB40" s="92"/>
      <c r="AC40" s="102"/>
      <c r="AE40" s="58"/>
      <c r="AF40" s="59"/>
      <c r="AG40" s="92"/>
      <c r="AH40" s="92"/>
      <c r="AI40" s="92"/>
      <c r="AJ40" s="92"/>
      <c r="AK40" s="102"/>
      <c r="AL40" s="58"/>
      <c r="AM40" s="59"/>
      <c r="AN40" s="92"/>
      <c r="AO40" s="92"/>
      <c r="AP40" s="92"/>
      <c r="AQ40" s="92"/>
      <c r="AR40" s="102"/>
      <c r="AT40" s="58"/>
      <c r="AU40" s="59"/>
      <c r="AV40" s="92"/>
      <c r="AW40" s="92"/>
      <c r="AX40" s="92"/>
      <c r="AY40" s="92"/>
      <c r="AZ40" s="102"/>
      <c r="BA40" s="58"/>
      <c r="BB40" s="59"/>
      <c r="BC40" s="92"/>
      <c r="BD40" s="92"/>
      <c r="BE40" s="92"/>
      <c r="BF40" s="92"/>
      <c r="BG40" s="102"/>
      <c r="BI40" s="58"/>
      <c r="BJ40" s="59"/>
      <c r="BK40" s="92"/>
      <c r="BL40" s="92"/>
      <c r="BM40" s="92"/>
      <c r="BN40" s="92"/>
      <c r="BO40" s="102"/>
      <c r="BP40" s="58"/>
      <c r="BQ40" s="59"/>
      <c r="BR40" s="92"/>
      <c r="BS40" s="92"/>
      <c r="BT40" s="92"/>
      <c r="BU40" s="92"/>
      <c r="BV40" s="102"/>
      <c r="BX40" s="77">
        <f>BX36+7</f>
        <v>63</v>
      </c>
      <c r="BY40" s="77" t="str" cm="1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77" t="str" cm="1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77" t="str" cm="1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77" t="str" cm="1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77" t="str" cm="1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77" t="str" cm="1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77" t="str" cm="1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77" t="str" cm="1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77" t="str" cm="1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77" t="str" cm="1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77">
        <f t="shared" ca="1" si="0"/>
        <v>0</v>
      </c>
      <c r="CJ40" s="77" t="b" cm="1">
        <f t="array" aca="1" ref="CJ40" ca="1">SUMPRODUCT((LEN(BY40:CH40)&gt;0)*1)&gt;0</f>
        <v>0</v>
      </c>
      <c r="CK40" s="77" t="str">
        <f t="array" aca="1" ref="CK40" ca="1">IFERROR(SMALL(IF(CI$1:CI$100&lt;&gt;0,CI$1:CI$100),ROW(A40)),"")</f>
        <v/>
      </c>
      <c r="CL40" s="77" t="str" cm="1">
        <f t="array" aca="1" ref="CL40" ca="1">IF($CK40&lt;&gt;"",
INDIRECT(""&amp;IF(COLUMN(BY40)&lt;=26,CHAR(COLUMN(BY40)+64),CHAR(INT((COLUMN(BY40)-1)/26)+64)&amp;CHAR(MOD(COLUMN(BY40)-1,26)+65))&amp;$CK40&amp;""),"")</f>
        <v/>
      </c>
      <c r="CM40" s="77" t="str" cm="1">
        <f t="array" aca="1" ref="CM40" ca="1">IF($CK40&lt;&gt;"",
INDIRECT(""&amp;IF(COLUMN(BZ40)&lt;=26,CHAR(COLUMN(BZ40)+64),CHAR(INT((COLUMN(BZ40)-1)/26)+64)&amp;CHAR(MOD(COLUMN(BZ40)-1,26)+65))&amp;$CK40&amp;""),"")</f>
        <v/>
      </c>
      <c r="CN40" s="77" t="str" cm="1">
        <f t="array" aca="1" ref="CN40" ca="1">IF($CK40&lt;&gt;"",
INDIRECT(""&amp;IF(COLUMN(CA40)&lt;=26,CHAR(COLUMN(CA40)+64),CHAR(INT((COLUMN(CA40)-1)/26)+64)&amp;CHAR(MOD(COLUMN(CA40)-1,26)+65))&amp;$CK40&amp;""),"")</f>
        <v/>
      </c>
      <c r="CO40" s="77" t="str" cm="1">
        <f t="array" aca="1" ref="CO40" ca="1">IF($CK40&lt;&gt;"",
INDIRECT(""&amp;IF(COLUMN(CB40)&lt;=26,CHAR(COLUMN(CB40)+64),CHAR(INT((COLUMN(CB40)-1)/26)+64)&amp;CHAR(MOD(COLUMN(CB40)-1,26)+65))&amp;$CK40&amp;""),"")</f>
        <v/>
      </c>
      <c r="CP40" s="77" t="str" cm="1">
        <f t="array" aca="1" ref="CP40" ca="1">IF($CK40&lt;&gt;"",
INDIRECT(""&amp;IF(COLUMN(CC40)&lt;=26,CHAR(COLUMN(CC40)+64),CHAR(INT((COLUMN(CC40)-1)/26)+64)&amp;CHAR(MOD(COLUMN(CC40)-1,26)+65))&amp;$CK40&amp;""),"")</f>
        <v/>
      </c>
      <c r="CQ40" s="77" t="str" cm="1">
        <f t="array" aca="1" ref="CQ40" ca="1">IF($CK40&lt;&gt;"",
INDIRECT(""&amp;IF(COLUMN(CD40)&lt;=26,CHAR(COLUMN(CD40)+64),CHAR(INT((COLUMN(CD40)-1)/26)+64)&amp;CHAR(MOD(COLUMN(CD40)-1,26)+65))&amp;$CK40&amp;""),"")</f>
        <v/>
      </c>
      <c r="CR40" s="77" t="str" cm="1">
        <f t="array" aca="1" ref="CR40" ca="1">IF($CK40&lt;&gt;"",
INDIRECT(""&amp;IF(COLUMN(CE40)&lt;=26,CHAR(COLUMN(CE40)+64),CHAR(INT((COLUMN(CE40)-1)/26)+64)&amp;CHAR(MOD(COLUMN(CE40)-1,26)+65))&amp;$CK40&amp;""),"")</f>
        <v/>
      </c>
      <c r="CS40" s="77" t="str" cm="1">
        <f t="array" aca="1" ref="CS40" ca="1">IF($CK40&lt;&gt;"",
INDIRECT(""&amp;IF(COLUMN(CF40)&lt;=26,CHAR(COLUMN(CF40)+64),CHAR(INT((COLUMN(CF40)-1)/26)+64)&amp;CHAR(MOD(COLUMN(CF40)-1,26)+65))&amp;$CK40&amp;""),"")</f>
        <v/>
      </c>
      <c r="CT40" s="77" t="str" cm="1">
        <f t="array" aca="1" ref="CT40" ca="1">IF($CK40&lt;&gt;"",
INDIRECT(""&amp;IF(COLUMN(CG40)&lt;=26,CHAR(COLUMN(CG40)+64),CHAR(INT((COLUMN(CG40)-1)/26)+64)&amp;CHAR(MOD(COLUMN(CG40)-1,26)+65))&amp;$CK40&amp;""),"")</f>
        <v/>
      </c>
      <c r="CU40" s="77" t="str" cm="1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77" customFormat="1" ht="22.2" x14ac:dyDescent="0.55000000000000004">
      <c r="A41" s="53"/>
      <c r="B41" s="84" t="str">
        <f ca="1">IF(C37&lt;&gt;"",
"パン箱","")</f>
        <v/>
      </c>
      <c r="C41" s="82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84" t="str">
        <f ca="1">IF(C37&lt;&gt;"",
" 端数","")</f>
        <v/>
      </c>
      <c r="E41" s="82"/>
      <c r="F41" s="84" t="str">
        <f ca="1">IF(C37&lt;&gt;"",
"アレルギー","")</f>
        <v/>
      </c>
      <c r="G41" s="101"/>
      <c r="H41" s="53"/>
      <c r="I41" s="84" t="str">
        <f ca="1">IF(J37&lt;&gt;"",
"パン箱","")</f>
        <v/>
      </c>
      <c r="J41" s="82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84" t="str">
        <f ca="1">IF(J37&lt;&gt;"",
" 端数","")</f>
        <v/>
      </c>
      <c r="L41" s="82"/>
      <c r="M41" s="84" t="str">
        <f ca="1">IF(J37&lt;&gt;"",
"アレルギー","")</f>
        <v/>
      </c>
      <c r="N41" s="101"/>
      <c r="O41" s="53"/>
      <c r="P41" s="53"/>
      <c r="Q41" s="84" t="str">
        <f ca="1">IF(R37&lt;&gt;"",
"パン箱","")</f>
        <v/>
      </c>
      <c r="R41" s="82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84" t="str">
        <f ca="1">IF(R37&lt;&gt;"",
" 端数","")</f>
        <v/>
      </c>
      <c r="T41" s="82"/>
      <c r="U41" s="84" t="str">
        <f ca="1">IF(R37&lt;&gt;"",
"アレルギー","")</f>
        <v/>
      </c>
      <c r="V41" s="101"/>
      <c r="W41" s="53"/>
      <c r="X41" s="84" t="str">
        <f ca="1">IF(Y37&lt;&gt;"",
"パン箱","")</f>
        <v/>
      </c>
      <c r="Y41" s="82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84" t="str">
        <f ca="1">IF(Y37&lt;&gt;"",
" 端数","")</f>
        <v/>
      </c>
      <c r="AA41" s="82"/>
      <c r="AB41" s="84" t="str">
        <f ca="1">IF(Y37&lt;&gt;"",
"アレルギー","")</f>
        <v/>
      </c>
      <c r="AC41" s="101"/>
      <c r="AD41" s="53"/>
      <c r="AE41" s="53"/>
      <c r="AF41" s="84" t="str">
        <f ca="1">IF(AG37&lt;&gt;"",
"パン箱","")</f>
        <v/>
      </c>
      <c r="AG41" s="82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84" t="str">
        <f ca="1">IF(AG37&lt;&gt;"",
" 端数","")</f>
        <v/>
      </c>
      <c r="AI41" s="82"/>
      <c r="AJ41" s="84" t="str">
        <f ca="1">IF(AG37&lt;&gt;"",
"アレルギー","")</f>
        <v/>
      </c>
      <c r="AK41" s="101"/>
      <c r="AL41" s="53"/>
      <c r="AM41" s="84" t="str">
        <f ca="1">IF(AN37&lt;&gt;"",
"パン箱","")</f>
        <v/>
      </c>
      <c r="AN41" s="82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84" t="str">
        <f ca="1">IF(AN37&lt;&gt;"",
" 端数","")</f>
        <v/>
      </c>
      <c r="AP41" s="82"/>
      <c r="AQ41" s="84" t="str">
        <f ca="1">IF(AN37&lt;&gt;"",
"アレルギー","")</f>
        <v/>
      </c>
      <c r="AR41" s="101"/>
      <c r="AS41" s="53"/>
      <c r="AT41" s="53"/>
      <c r="AU41" s="84" t="str">
        <f ca="1">IF(AV37&lt;&gt;"",
"パン箱","")</f>
        <v/>
      </c>
      <c r="AV41" s="82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84" t="str">
        <f ca="1">IF(AV37&lt;&gt;"",
" 端数","")</f>
        <v/>
      </c>
      <c r="AX41" s="82"/>
      <c r="AY41" s="84" t="str">
        <f ca="1">IF(AV37&lt;&gt;"",
"アレルギー","")</f>
        <v/>
      </c>
      <c r="AZ41" s="101"/>
      <c r="BA41" s="53"/>
      <c r="BB41" s="84" t="str">
        <f ca="1">IF(BC37&lt;&gt;"",
"パン箱","")</f>
        <v/>
      </c>
      <c r="BC41" s="82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84" t="str">
        <f ca="1">IF(BC37&lt;&gt;"",
" 端数","")</f>
        <v/>
      </c>
      <c r="BE41" s="82"/>
      <c r="BF41" s="84" t="str">
        <f ca="1">IF(BC37&lt;&gt;"",
"アレルギー","")</f>
        <v/>
      </c>
      <c r="BG41" s="101"/>
      <c r="BH41" s="53"/>
      <c r="BI41" s="53"/>
      <c r="BJ41" s="84" t="str">
        <f ca="1">IF(BK37&lt;&gt;"",
"パン箱","")</f>
        <v/>
      </c>
      <c r="BK41" s="82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84" t="str">
        <f ca="1">IF(BK37&lt;&gt;"",
" 端数","")</f>
        <v/>
      </c>
      <c r="BM41" s="82"/>
      <c r="BN41" s="84" t="str">
        <f ca="1">IF(BK37&lt;&gt;"",
"アレルギー","")</f>
        <v/>
      </c>
      <c r="BO41" s="101"/>
      <c r="BP41" s="53"/>
      <c r="BQ41" s="84" t="str">
        <f ca="1">IF(BR37&lt;&gt;"",
"パン箱","")</f>
        <v/>
      </c>
      <c r="BR41" s="82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84" t="str">
        <f ca="1">IF(BR37&lt;&gt;"",
" 端数","")</f>
        <v/>
      </c>
      <c r="BT41" s="82"/>
      <c r="BU41" s="84" t="str">
        <f ca="1">IF(BR37&lt;&gt;"",
"アレルギー","")</f>
        <v/>
      </c>
      <c r="BV41" s="101"/>
      <c r="BW41" s="53"/>
      <c r="BX41" s="77">
        <f>BX37+7</f>
        <v>28</v>
      </c>
      <c r="BY41" s="77" t="str" cm="1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77" t="str" cm="1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77" t="str" cm="1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77" t="str" cm="1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77" t="str" cm="1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77" t="str" cm="1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77" t="str" cm="1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77" t="str" cm="1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77" t="str" cm="1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77" t="str" cm="1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77">
        <f t="shared" ca="1" si="0"/>
        <v>0</v>
      </c>
      <c r="CJ41" s="77" t="b" cm="1">
        <f t="array" aca="1" ref="CJ41" ca="1">SUMPRODUCT((LEN(BY41:CH41)&gt;0)*1)&gt;0</f>
        <v>0</v>
      </c>
      <c r="CK41" s="77" t="str">
        <f t="array" aca="1" ref="CK41" ca="1">IFERROR(SMALL(IF(CI$1:CI$100&lt;&gt;0,CI$1:CI$100),ROW(A41)),"")</f>
        <v/>
      </c>
      <c r="CL41" s="77" t="str" cm="1">
        <f t="array" aca="1" ref="CL41" ca="1">IF($CK41&lt;&gt;"",
INDIRECT(""&amp;IF(COLUMN(BY41)&lt;=26,CHAR(COLUMN(BY41)+64),CHAR(INT((COLUMN(BY41)-1)/26)+64)&amp;CHAR(MOD(COLUMN(BY41)-1,26)+65))&amp;$CK41&amp;""),"")</f>
        <v/>
      </c>
      <c r="CM41" s="77" t="str" cm="1">
        <f t="array" aca="1" ref="CM41" ca="1">IF($CK41&lt;&gt;"",
INDIRECT(""&amp;IF(COLUMN(BZ41)&lt;=26,CHAR(COLUMN(BZ41)+64),CHAR(INT((COLUMN(BZ41)-1)/26)+64)&amp;CHAR(MOD(COLUMN(BZ41)-1,26)+65))&amp;$CK41&amp;""),"")</f>
        <v/>
      </c>
      <c r="CN41" s="77" t="str" cm="1">
        <f t="array" aca="1" ref="CN41" ca="1">IF($CK41&lt;&gt;"",
INDIRECT(""&amp;IF(COLUMN(CA41)&lt;=26,CHAR(COLUMN(CA41)+64),CHAR(INT((COLUMN(CA41)-1)/26)+64)&amp;CHAR(MOD(COLUMN(CA41)-1,26)+65))&amp;$CK41&amp;""),"")</f>
        <v/>
      </c>
      <c r="CO41" s="77" t="str" cm="1">
        <f t="array" aca="1" ref="CO41" ca="1">IF($CK41&lt;&gt;"",
INDIRECT(""&amp;IF(COLUMN(CB41)&lt;=26,CHAR(COLUMN(CB41)+64),CHAR(INT((COLUMN(CB41)-1)/26)+64)&amp;CHAR(MOD(COLUMN(CB41)-1,26)+65))&amp;$CK41&amp;""),"")</f>
        <v/>
      </c>
      <c r="CP41" s="77" t="str" cm="1">
        <f t="array" aca="1" ref="CP41" ca="1">IF($CK41&lt;&gt;"",
INDIRECT(""&amp;IF(COLUMN(CC41)&lt;=26,CHAR(COLUMN(CC41)+64),CHAR(INT((COLUMN(CC41)-1)/26)+64)&amp;CHAR(MOD(COLUMN(CC41)-1,26)+65))&amp;$CK41&amp;""),"")</f>
        <v/>
      </c>
      <c r="CQ41" s="77" t="str" cm="1">
        <f t="array" aca="1" ref="CQ41" ca="1">IF($CK41&lt;&gt;"",
INDIRECT(""&amp;IF(COLUMN(CD41)&lt;=26,CHAR(COLUMN(CD41)+64),CHAR(INT((COLUMN(CD41)-1)/26)+64)&amp;CHAR(MOD(COLUMN(CD41)-1,26)+65))&amp;$CK41&amp;""),"")</f>
        <v/>
      </c>
      <c r="CR41" s="77" t="str" cm="1">
        <f t="array" aca="1" ref="CR41" ca="1">IF($CK41&lt;&gt;"",
INDIRECT(""&amp;IF(COLUMN(CE41)&lt;=26,CHAR(COLUMN(CE41)+64),CHAR(INT((COLUMN(CE41)-1)/26)+64)&amp;CHAR(MOD(COLUMN(CE41)-1,26)+65))&amp;$CK41&amp;""),"")</f>
        <v/>
      </c>
      <c r="CS41" s="77" t="str" cm="1">
        <f t="array" aca="1" ref="CS41" ca="1">IF($CK41&lt;&gt;"",
INDIRECT(""&amp;IF(COLUMN(CF41)&lt;=26,CHAR(COLUMN(CF41)+64),CHAR(INT((COLUMN(CF41)-1)/26)+64)&amp;CHAR(MOD(COLUMN(CF41)-1,26)+65))&amp;$CK41&amp;""),"")</f>
        <v/>
      </c>
      <c r="CT41" s="77" t="str" cm="1">
        <f t="array" aca="1" ref="CT41" ca="1">IF($CK41&lt;&gt;"",
INDIRECT(""&amp;IF(COLUMN(CG41)&lt;=26,CHAR(COLUMN(CG41)+64),CHAR(INT((COLUMN(CG41)-1)/26)+64)&amp;CHAR(MOD(COLUMN(CG41)-1,26)+65))&amp;$CK41&amp;""),"")</f>
        <v/>
      </c>
      <c r="CU41" s="77" t="str" cm="1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97" t="str">
        <f ca="1">IF(C39&lt;&gt;"",
IFERROR(INT(C39/C41),""),"")</f>
        <v/>
      </c>
      <c r="C42" s="95"/>
      <c r="D42" s="97" t="str">
        <f ca="1">IFERROR(MOD(C39,C41),"")</f>
        <v/>
      </c>
      <c r="E42" s="95"/>
      <c r="F42" s="94" t="str">
        <f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"")="",0,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95"/>
      <c r="I42" s="97" t="str">
        <f ca="1">IF(J39&lt;&gt;"",
IFERROR(INT(J39/J41),""),"")</f>
        <v/>
      </c>
      <c r="J42" s="95"/>
      <c r="K42" s="97" t="str">
        <f ca="1">IFERROR(MOD(J39,J41),"")</f>
        <v/>
      </c>
      <c r="L42" s="95"/>
      <c r="M42" s="94" t="str">
        <f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"")="",0,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95"/>
      <c r="Q42" s="97" t="str">
        <f ca="1">IF(R39&lt;&gt;"",
IFERROR(INT(R39/R41),""),"")</f>
        <v/>
      </c>
      <c r="R42" s="95"/>
      <c r="S42" s="97" t="str">
        <f ca="1">IFERROR(MOD(R39,R41),"")</f>
        <v/>
      </c>
      <c r="T42" s="95"/>
      <c r="U42" s="94" t="str">
        <f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"")="",0,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95"/>
      <c r="X42" s="97" t="str">
        <f ca="1">IF(Y39&lt;&gt;"",
IFERROR(INT(Y39/Y41),""),"")</f>
        <v/>
      </c>
      <c r="Y42" s="95"/>
      <c r="Z42" s="97" t="str">
        <f ca="1">IFERROR(MOD(Y39,Y41),"")</f>
        <v/>
      </c>
      <c r="AA42" s="95"/>
      <c r="AB42" s="94" t="str">
        <f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"")="",0,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95"/>
      <c r="AF42" s="97" t="str">
        <f ca="1">IF(AG39&lt;&gt;"",
IFERROR(INT(AG39/AG41),""),"")</f>
        <v/>
      </c>
      <c r="AG42" s="95"/>
      <c r="AH42" s="97" t="str">
        <f ca="1">IFERROR(MOD(AG39,AG41),"")</f>
        <v/>
      </c>
      <c r="AI42" s="95"/>
      <c r="AJ42" s="94" t="str">
        <f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"")="",0,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95"/>
      <c r="AM42" s="97" t="str">
        <f ca="1">IF(AN39&lt;&gt;"",
IFERROR(INT(AN39/AN41),""),"")</f>
        <v/>
      </c>
      <c r="AN42" s="95"/>
      <c r="AO42" s="97" t="str">
        <f ca="1">IFERROR(MOD(AN39,AN41),"")</f>
        <v/>
      </c>
      <c r="AP42" s="95"/>
      <c r="AQ42" s="94" t="str">
        <f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"")="",0,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95"/>
      <c r="AU42" s="97" t="str">
        <f ca="1">IF(AV39&lt;&gt;"",
IFERROR(INT(AV39/AV41),""),"")</f>
        <v/>
      </c>
      <c r="AV42" s="95"/>
      <c r="AW42" s="97" t="str">
        <f ca="1">IFERROR(MOD(AV39,AV41),"")</f>
        <v/>
      </c>
      <c r="AX42" s="95"/>
      <c r="AY42" s="94" t="str">
        <f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"")="",0,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95"/>
      <c r="BB42" s="97" t="str">
        <f ca="1">IF(BC39&lt;&gt;"",
IFERROR(INT(BC39/BC41),""),"")</f>
        <v/>
      </c>
      <c r="BC42" s="95"/>
      <c r="BD42" s="97" t="str">
        <f ca="1">IFERROR(MOD(BC39,BC41),"")</f>
        <v/>
      </c>
      <c r="BE42" s="95"/>
      <c r="BF42" s="94" t="str">
        <f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"")="",0,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95"/>
      <c r="BJ42" s="97" t="str">
        <f ca="1">IF(BK39&lt;&gt;"",
IFERROR(INT(BK39/BK41),""),"")</f>
        <v/>
      </c>
      <c r="BK42" s="95"/>
      <c r="BL42" s="97" t="str">
        <f ca="1">IFERROR(MOD(BK39,BK41),"")</f>
        <v/>
      </c>
      <c r="BM42" s="95"/>
      <c r="BN42" s="94" t="str">
        <f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"")="",0,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95"/>
      <c r="BQ42" s="97" t="str">
        <f ca="1">IF(BR39&lt;&gt;"",
IFERROR(INT(BR39/BR41),""),"")</f>
        <v/>
      </c>
      <c r="BR42" s="95"/>
      <c r="BS42" s="97" t="str">
        <f ca="1">IFERROR(MOD(BR39,BR41),"")</f>
        <v/>
      </c>
      <c r="BT42" s="95"/>
      <c r="BU42" s="94" t="str">
        <f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"")="",0,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95"/>
      <c r="BX42" s="77">
        <f>BX38+7</f>
        <v>70</v>
      </c>
      <c r="BY42" s="77" t="str" cm="1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77" t="str" cm="1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77" t="str" cm="1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77" t="str" cm="1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77" t="str" cm="1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77" t="str" cm="1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77" t="str" cm="1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77" t="str" cm="1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77" t="str" cm="1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77" t="str" cm="1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77">
        <f t="shared" ca="1" si="0"/>
        <v>0</v>
      </c>
      <c r="CJ42" s="77" t="b" cm="1">
        <f t="array" aca="1" ref="CJ42" ca="1">SUMPRODUCT((LEN(BY42:CH42)&gt;0)*1)&gt;0</f>
        <v>0</v>
      </c>
      <c r="CK42" s="77" t="str">
        <f t="array" aca="1" ref="CK42" ca="1">IFERROR(SMALL(IF(CI$1:CI$100&lt;&gt;0,CI$1:CI$100),ROW(A42)),"")</f>
        <v/>
      </c>
      <c r="CL42" s="77" t="str" cm="1">
        <f t="array" aca="1" ref="CL42" ca="1">IF($CK42&lt;&gt;"",
INDIRECT(""&amp;IF(COLUMN(BY42)&lt;=26,CHAR(COLUMN(BY42)+64),CHAR(INT((COLUMN(BY42)-1)/26)+64)&amp;CHAR(MOD(COLUMN(BY42)-1,26)+65))&amp;$CK42&amp;""),"")</f>
        <v/>
      </c>
      <c r="CM42" s="77" t="str" cm="1">
        <f t="array" aca="1" ref="CM42" ca="1">IF($CK42&lt;&gt;"",
INDIRECT(""&amp;IF(COLUMN(BZ42)&lt;=26,CHAR(COLUMN(BZ42)+64),CHAR(INT((COLUMN(BZ42)-1)/26)+64)&amp;CHAR(MOD(COLUMN(BZ42)-1,26)+65))&amp;$CK42&amp;""),"")</f>
        <v/>
      </c>
      <c r="CN42" s="77" t="str" cm="1">
        <f t="array" aca="1" ref="CN42" ca="1">IF($CK42&lt;&gt;"",
INDIRECT(""&amp;IF(COLUMN(CA42)&lt;=26,CHAR(COLUMN(CA42)+64),CHAR(INT((COLUMN(CA42)-1)/26)+64)&amp;CHAR(MOD(COLUMN(CA42)-1,26)+65))&amp;$CK42&amp;""),"")</f>
        <v/>
      </c>
      <c r="CO42" s="77" t="str" cm="1">
        <f t="array" aca="1" ref="CO42" ca="1">IF($CK42&lt;&gt;"",
INDIRECT(""&amp;IF(COLUMN(CB42)&lt;=26,CHAR(COLUMN(CB42)+64),CHAR(INT((COLUMN(CB42)-1)/26)+64)&amp;CHAR(MOD(COLUMN(CB42)-1,26)+65))&amp;$CK42&amp;""),"")</f>
        <v/>
      </c>
      <c r="CP42" s="77" t="str" cm="1">
        <f t="array" aca="1" ref="CP42" ca="1">IF($CK42&lt;&gt;"",
INDIRECT(""&amp;IF(COLUMN(CC42)&lt;=26,CHAR(COLUMN(CC42)+64),CHAR(INT((COLUMN(CC42)-1)/26)+64)&amp;CHAR(MOD(COLUMN(CC42)-1,26)+65))&amp;$CK42&amp;""),"")</f>
        <v/>
      </c>
      <c r="CQ42" s="77" t="str" cm="1">
        <f t="array" aca="1" ref="CQ42" ca="1">IF($CK42&lt;&gt;"",
INDIRECT(""&amp;IF(COLUMN(CD42)&lt;=26,CHAR(COLUMN(CD42)+64),CHAR(INT((COLUMN(CD42)-1)/26)+64)&amp;CHAR(MOD(COLUMN(CD42)-1,26)+65))&amp;$CK42&amp;""),"")</f>
        <v/>
      </c>
      <c r="CR42" s="77" t="str" cm="1">
        <f t="array" aca="1" ref="CR42" ca="1">IF($CK42&lt;&gt;"",
INDIRECT(""&amp;IF(COLUMN(CE42)&lt;=26,CHAR(COLUMN(CE42)+64),CHAR(INT((COLUMN(CE42)-1)/26)+64)&amp;CHAR(MOD(COLUMN(CE42)-1,26)+65))&amp;$CK42&amp;""),"")</f>
        <v/>
      </c>
      <c r="CS42" s="77" t="str" cm="1">
        <f t="array" aca="1" ref="CS42" ca="1">IF($CK42&lt;&gt;"",
INDIRECT(""&amp;IF(COLUMN(CF42)&lt;=26,CHAR(COLUMN(CF42)+64),CHAR(INT((COLUMN(CF42)-1)/26)+64)&amp;CHAR(MOD(COLUMN(CF42)-1,26)+65))&amp;$CK42&amp;""),"")</f>
        <v/>
      </c>
      <c r="CT42" s="77" t="str" cm="1">
        <f t="array" aca="1" ref="CT42" ca="1">IF($CK42&lt;&gt;"",
INDIRECT(""&amp;IF(COLUMN(CG42)&lt;=26,CHAR(COLUMN(CG42)+64),CHAR(INT((COLUMN(CG42)-1)/26)+64)&amp;CHAR(MOD(COLUMN(CG42)-1,26)+65))&amp;$CK42&amp;""),"")</f>
        <v/>
      </c>
      <c r="CU42" s="77" t="str" cm="1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77" customFormat="1" ht="18" customHeight="1" x14ac:dyDescent="0.55000000000000004">
      <c r="A43" s="53"/>
      <c r="B43" s="76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88" t="str">
        <f ca="1">IF(C46&lt;&gt;"",C1,"")</f>
        <v/>
      </c>
      <c r="D43" s="89"/>
      <c r="E43" s="89"/>
      <c r="F43" s="89"/>
      <c r="G43" s="106"/>
      <c r="H43" s="53"/>
      <c r="I43" s="76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88" t="str">
        <f ca="1">IF(J46&lt;&gt;"",J1,"")</f>
        <v/>
      </c>
      <c r="K43" s="89"/>
      <c r="L43" s="89"/>
      <c r="M43" s="89"/>
      <c r="N43" s="103"/>
      <c r="O43" s="53"/>
      <c r="P43" s="53"/>
      <c r="Q43" s="76" t="str" cm="1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88" t="str">
        <f ca="1">IF(R46&lt;&gt;"",R1,"")</f>
        <v/>
      </c>
      <c r="S43" s="89"/>
      <c r="T43" s="89"/>
      <c r="U43" s="89"/>
      <c r="V43" s="106"/>
      <c r="W43" s="53"/>
      <c r="X43" s="76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88" t="str">
        <f ca="1">IF(Y46&lt;&gt;"",Y1,"")</f>
        <v/>
      </c>
      <c r="Z43" s="89"/>
      <c r="AA43" s="89"/>
      <c r="AB43" s="89"/>
      <c r="AC43" s="103"/>
      <c r="AD43" s="53"/>
      <c r="AE43" s="53"/>
      <c r="AF43" s="76" t="str" cm="1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88" t="str">
        <f ca="1">IF(AG46&lt;&gt;"",AG1,"")</f>
        <v/>
      </c>
      <c r="AH43" s="89"/>
      <c r="AI43" s="89"/>
      <c r="AJ43" s="89"/>
      <c r="AK43" s="106"/>
      <c r="AL43" s="53"/>
      <c r="AM43" s="76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88" t="str">
        <f ca="1">IF(AN46&lt;&gt;"",AN1,"")</f>
        <v/>
      </c>
      <c r="AO43" s="89"/>
      <c r="AP43" s="89"/>
      <c r="AQ43" s="89"/>
      <c r="AR43" s="103"/>
      <c r="AS43" s="53"/>
      <c r="AT43" s="53"/>
      <c r="AU43" s="76" t="str" cm="1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88" t="str">
        <f ca="1">IF(AV46&lt;&gt;"",AV1,"")</f>
        <v/>
      </c>
      <c r="AW43" s="89"/>
      <c r="AX43" s="89"/>
      <c r="AY43" s="89"/>
      <c r="AZ43" s="106"/>
      <c r="BA43" s="53"/>
      <c r="BB43" s="76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88" t="str">
        <f ca="1">IF(BC46&lt;&gt;"",BC1,"")</f>
        <v/>
      </c>
      <c r="BD43" s="89"/>
      <c r="BE43" s="89"/>
      <c r="BF43" s="89"/>
      <c r="BG43" s="103"/>
      <c r="BH43" s="53"/>
      <c r="BI43" s="53"/>
      <c r="BJ43" s="76" t="str" cm="1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88" t="str">
        <f ca="1">IF(BK46&lt;&gt;"",BK1,"")</f>
        <v/>
      </c>
      <c r="BL43" s="89"/>
      <c r="BM43" s="89"/>
      <c r="BN43" s="89"/>
      <c r="BO43" s="106"/>
      <c r="BP43" s="53"/>
      <c r="BQ43" s="76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88" t="str">
        <f ca="1">IF(BR46&lt;&gt;"",BR1,"")</f>
        <v/>
      </c>
      <c r="BS43" s="89"/>
      <c r="BT43" s="89"/>
      <c r="BU43" s="89"/>
      <c r="BV43" s="103"/>
      <c r="BW43" s="53"/>
      <c r="BX43">
        <f>BX39+7</f>
        <v>28</v>
      </c>
      <c r="BY43" s="77" t="str" cm="1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77" t="str" cm="1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77" t="str" cm="1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77" t="str" cm="1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77" t="str" cm="1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77" t="str" cm="1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77" t="str" cm="1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77" t="str" cm="1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77" t="str" cm="1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77" t="str" cm="1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77">
        <f t="shared" ca="1" si="0"/>
        <v>0</v>
      </c>
      <c r="CJ43" s="77" t="b" cm="1">
        <f t="array" aca="1" ref="CJ43" ca="1">SUMPRODUCT((LEN(BY43:CH43)&gt;0)*1)&gt;0</f>
        <v>0</v>
      </c>
      <c r="CK43" s="77" t="str">
        <f t="array" aca="1" ref="CK43" ca="1">IFERROR(SMALL(IF(CI$1:CI$100&lt;&gt;0,CI$1:CI$100),ROW(A43)),"")</f>
        <v/>
      </c>
      <c r="CL43" s="77" t="str" cm="1">
        <f t="array" aca="1" ref="CL43" ca="1">IF($CK43&lt;&gt;"",
INDIRECT(""&amp;IF(COLUMN(BY43)&lt;=26,CHAR(COLUMN(BY43)+64),CHAR(INT((COLUMN(BY43)-1)/26)+64)&amp;CHAR(MOD(COLUMN(BY43)-1,26)+65))&amp;$CK43&amp;""),"")</f>
        <v/>
      </c>
      <c r="CM43" s="77" t="str" cm="1">
        <f t="array" aca="1" ref="CM43" ca="1">IF($CK43&lt;&gt;"",
INDIRECT(""&amp;IF(COLUMN(BZ43)&lt;=26,CHAR(COLUMN(BZ43)+64),CHAR(INT((COLUMN(BZ43)-1)/26)+64)&amp;CHAR(MOD(COLUMN(BZ43)-1,26)+65))&amp;$CK43&amp;""),"")</f>
        <v/>
      </c>
      <c r="CN43" s="77" t="str" cm="1">
        <f t="array" aca="1" ref="CN43" ca="1">IF($CK43&lt;&gt;"",
INDIRECT(""&amp;IF(COLUMN(CA43)&lt;=26,CHAR(COLUMN(CA43)+64),CHAR(INT((COLUMN(CA43)-1)/26)+64)&amp;CHAR(MOD(COLUMN(CA43)-1,26)+65))&amp;$CK43&amp;""),"")</f>
        <v/>
      </c>
      <c r="CO43" s="77" t="str" cm="1">
        <f t="array" aca="1" ref="CO43" ca="1">IF($CK43&lt;&gt;"",
INDIRECT(""&amp;IF(COLUMN(CB43)&lt;=26,CHAR(COLUMN(CB43)+64),CHAR(INT((COLUMN(CB43)-1)/26)+64)&amp;CHAR(MOD(COLUMN(CB43)-1,26)+65))&amp;$CK43&amp;""),"")</f>
        <v/>
      </c>
      <c r="CP43" s="77" t="str" cm="1">
        <f t="array" aca="1" ref="CP43" ca="1">IF($CK43&lt;&gt;"",
INDIRECT(""&amp;IF(COLUMN(CC43)&lt;=26,CHAR(COLUMN(CC43)+64),CHAR(INT((COLUMN(CC43)-1)/26)+64)&amp;CHAR(MOD(COLUMN(CC43)-1,26)+65))&amp;$CK43&amp;""),"")</f>
        <v/>
      </c>
      <c r="CQ43" s="77" t="str" cm="1">
        <f t="array" aca="1" ref="CQ43" ca="1">IF($CK43&lt;&gt;"",
INDIRECT(""&amp;IF(COLUMN(CD43)&lt;=26,CHAR(COLUMN(CD43)+64),CHAR(INT((COLUMN(CD43)-1)/26)+64)&amp;CHAR(MOD(COLUMN(CD43)-1,26)+65))&amp;$CK43&amp;""),"")</f>
        <v/>
      </c>
      <c r="CR43" s="77" t="str" cm="1">
        <f t="array" aca="1" ref="CR43" ca="1">IF($CK43&lt;&gt;"",
INDIRECT(""&amp;IF(COLUMN(CE43)&lt;=26,CHAR(COLUMN(CE43)+64),CHAR(INT((COLUMN(CE43)-1)/26)+64)&amp;CHAR(MOD(COLUMN(CE43)-1,26)+65))&amp;$CK43&amp;""),"")</f>
        <v/>
      </c>
      <c r="CS43" s="77" t="str" cm="1">
        <f t="array" aca="1" ref="CS43" ca="1">IF($CK43&lt;&gt;"",
INDIRECT(""&amp;IF(COLUMN(CF43)&lt;=26,CHAR(COLUMN(CF43)+64),CHAR(INT((COLUMN(CF43)-1)/26)+64)&amp;CHAR(MOD(COLUMN(CF43)-1,26)+65))&amp;$CK43&amp;""),"")</f>
        <v/>
      </c>
      <c r="CT43" s="77" t="str" cm="1">
        <f t="array" aca="1" ref="CT43" ca="1">IF($CK43&lt;&gt;"",
INDIRECT(""&amp;IF(COLUMN(CG43)&lt;=26,CHAR(COLUMN(CG43)+64),CHAR(INT((COLUMN(CG43)-1)/26)+64)&amp;CHAR(MOD(COLUMN(CG43)-1,26)+65))&amp;$CK43&amp;""),"")</f>
        <v/>
      </c>
      <c r="CU43" s="77" t="str" cm="1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77" customFormat="1" ht="18" customHeight="1" x14ac:dyDescent="0.55000000000000004">
      <c r="A44" s="53"/>
      <c r="B44" s="7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9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53"/>
      <c r="E44" s="108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8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00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53"/>
      <c r="I44" s="7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9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53"/>
      <c r="L44" s="108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8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00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53"/>
      <c r="P44" s="53"/>
      <c r="Q44" s="7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9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53"/>
      <c r="T44" s="108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8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00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53"/>
      <c r="X44" s="7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9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53"/>
      <c r="AA44" s="108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8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00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53"/>
      <c r="AE44" s="53"/>
      <c r="AF44" s="7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9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53"/>
      <c r="AI44" s="108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8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00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53"/>
      <c r="AM44" s="7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9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53"/>
      <c r="AP44" s="108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8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00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53"/>
      <c r="AT44" s="53"/>
      <c r="AU44" s="7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9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53"/>
      <c r="AX44" s="108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8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00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53"/>
      <c r="BB44" s="7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9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53"/>
      <c r="BE44" s="108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8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00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53"/>
      <c r="BI44" s="53"/>
      <c r="BJ44" s="7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9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53"/>
      <c r="BM44" s="108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8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00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53"/>
      <c r="BQ44" s="7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9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53"/>
      <c r="BT44" s="108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8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00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53"/>
      <c r="BX44" s="77">
        <f>BX40+7</f>
        <v>70</v>
      </c>
      <c r="BY44" s="77" t="str" cm="1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77" t="str" cm="1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77" t="str" cm="1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77" t="str" cm="1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77" t="str" cm="1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77" t="str" cm="1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77" t="str" cm="1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77" t="str" cm="1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77" t="str" cm="1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77" t="str" cm="1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77">
        <f t="shared" ca="1" si="0"/>
        <v>0</v>
      </c>
      <c r="CJ44" s="77" t="b" cm="1">
        <f t="array" aca="1" ref="CJ44" ca="1">SUMPRODUCT((LEN(BY44:CH44)&gt;0)*1)&gt;0</f>
        <v>0</v>
      </c>
      <c r="CK44" s="77" t="str">
        <f t="array" aca="1" ref="CK44" ca="1">IFERROR(SMALL(IF(CI$1:CI$100&lt;&gt;0,CI$1:CI$100),ROW(A44)),"")</f>
        <v/>
      </c>
      <c r="CL44" s="77" t="str" cm="1">
        <f t="array" aca="1" ref="CL44" ca="1">IF($CK44&lt;&gt;"",
INDIRECT(""&amp;IF(COLUMN(BY44)&lt;=26,CHAR(COLUMN(BY44)+64),CHAR(INT((COLUMN(BY44)-1)/26)+64)&amp;CHAR(MOD(COLUMN(BY44)-1,26)+65))&amp;$CK44&amp;""),"")</f>
        <v/>
      </c>
      <c r="CM44" s="77" t="str" cm="1">
        <f t="array" aca="1" ref="CM44" ca="1">IF($CK44&lt;&gt;"",
INDIRECT(""&amp;IF(COLUMN(BZ44)&lt;=26,CHAR(COLUMN(BZ44)+64),CHAR(INT((COLUMN(BZ44)-1)/26)+64)&amp;CHAR(MOD(COLUMN(BZ44)-1,26)+65))&amp;$CK44&amp;""),"")</f>
        <v/>
      </c>
      <c r="CN44" s="77" t="str" cm="1">
        <f t="array" aca="1" ref="CN44" ca="1">IF($CK44&lt;&gt;"",
INDIRECT(""&amp;IF(COLUMN(CA44)&lt;=26,CHAR(COLUMN(CA44)+64),CHAR(INT((COLUMN(CA44)-1)/26)+64)&amp;CHAR(MOD(COLUMN(CA44)-1,26)+65))&amp;$CK44&amp;""),"")</f>
        <v/>
      </c>
      <c r="CO44" s="77" t="str" cm="1">
        <f t="array" aca="1" ref="CO44" ca="1">IF($CK44&lt;&gt;"",
INDIRECT(""&amp;IF(COLUMN(CB44)&lt;=26,CHAR(COLUMN(CB44)+64),CHAR(INT((COLUMN(CB44)-1)/26)+64)&amp;CHAR(MOD(COLUMN(CB44)-1,26)+65))&amp;$CK44&amp;""),"")</f>
        <v/>
      </c>
      <c r="CP44" s="77" t="str" cm="1">
        <f t="array" aca="1" ref="CP44" ca="1">IF($CK44&lt;&gt;"",
INDIRECT(""&amp;IF(COLUMN(CC44)&lt;=26,CHAR(COLUMN(CC44)+64),CHAR(INT((COLUMN(CC44)-1)/26)+64)&amp;CHAR(MOD(COLUMN(CC44)-1,26)+65))&amp;$CK44&amp;""),"")</f>
        <v/>
      </c>
      <c r="CQ44" s="77" t="str" cm="1">
        <f t="array" aca="1" ref="CQ44" ca="1">IF($CK44&lt;&gt;"",
INDIRECT(""&amp;IF(COLUMN(CD44)&lt;=26,CHAR(COLUMN(CD44)+64),CHAR(INT((COLUMN(CD44)-1)/26)+64)&amp;CHAR(MOD(COLUMN(CD44)-1,26)+65))&amp;$CK44&amp;""),"")</f>
        <v/>
      </c>
      <c r="CR44" s="77" t="str" cm="1">
        <f t="array" aca="1" ref="CR44" ca="1">IF($CK44&lt;&gt;"",
INDIRECT(""&amp;IF(COLUMN(CE44)&lt;=26,CHAR(COLUMN(CE44)+64),CHAR(INT((COLUMN(CE44)-1)/26)+64)&amp;CHAR(MOD(COLUMN(CE44)-1,26)+65))&amp;$CK44&amp;""),"")</f>
        <v/>
      </c>
      <c r="CS44" s="77" t="str" cm="1">
        <f t="array" aca="1" ref="CS44" ca="1">IF($CK44&lt;&gt;"",
INDIRECT(""&amp;IF(COLUMN(CF44)&lt;=26,CHAR(COLUMN(CF44)+64),CHAR(INT((COLUMN(CF44)-1)/26)+64)&amp;CHAR(MOD(COLUMN(CF44)-1,26)+65))&amp;$CK44&amp;""),"")</f>
        <v/>
      </c>
      <c r="CT44" s="77" t="str" cm="1">
        <f t="array" aca="1" ref="CT44" ca="1">IF($CK44&lt;&gt;"",
INDIRECT(""&amp;IF(COLUMN(CG44)&lt;=26,CHAR(COLUMN(CG44)+64),CHAR(INT((COLUMN(CG44)-1)/26)+64)&amp;CHAR(MOD(COLUMN(CG44)-1,26)+65))&amp;$CK44&amp;""),"")</f>
        <v/>
      </c>
      <c r="CU44" s="77" t="str" cm="1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77" customFormat="1" ht="22.2" x14ac:dyDescent="0.55000000000000004">
      <c r="A45" s="53"/>
      <c r="B45" s="85"/>
      <c r="C45" s="86" t="str">
        <f ca="1">IF(C46&lt;&gt;"","園児","")</f>
        <v/>
      </c>
      <c r="D45" s="87"/>
      <c r="E45" s="96" t="str">
        <f ca="1">IF(C46&lt;&gt;"","先生","")</f>
        <v/>
      </c>
      <c r="F45" s="87"/>
      <c r="G45" s="101"/>
      <c r="H45" s="53"/>
      <c r="I45" s="85"/>
      <c r="J45" s="86" t="str">
        <f ca="1">IF(J46&lt;&gt;"","園児","")</f>
        <v/>
      </c>
      <c r="K45" s="87"/>
      <c r="L45" s="96" t="str">
        <f ca="1">IF(J46&lt;&gt;"","先生","")</f>
        <v/>
      </c>
      <c r="M45" s="87"/>
      <c r="N45" s="101"/>
      <c r="O45" s="53"/>
      <c r="P45" s="53"/>
      <c r="Q45" s="85"/>
      <c r="R45" s="86" t="str">
        <f ca="1">IF(R46&lt;&gt;"","園児","")</f>
        <v/>
      </c>
      <c r="S45" s="87"/>
      <c r="T45" s="96" t="str">
        <f ca="1">IF(R46&lt;&gt;"","先生","")</f>
        <v/>
      </c>
      <c r="U45" s="87"/>
      <c r="V45" s="101"/>
      <c r="W45" s="53"/>
      <c r="X45" s="85"/>
      <c r="Y45" s="86" t="str">
        <f ca="1">IF(Y46&lt;&gt;"","園児","")</f>
        <v/>
      </c>
      <c r="Z45" s="87"/>
      <c r="AA45" s="96" t="str">
        <f ca="1">IF(Y46&lt;&gt;"","先生","")</f>
        <v/>
      </c>
      <c r="AB45" s="87"/>
      <c r="AC45" s="101"/>
      <c r="AD45" s="53"/>
      <c r="AE45" s="53"/>
      <c r="AF45" s="85"/>
      <c r="AG45" s="86" t="str">
        <f ca="1">IF(AG46&lt;&gt;"","園児","")</f>
        <v/>
      </c>
      <c r="AH45" s="87"/>
      <c r="AI45" s="96" t="str">
        <f ca="1">IF(AG46&lt;&gt;"","先生","")</f>
        <v/>
      </c>
      <c r="AJ45" s="87"/>
      <c r="AK45" s="101"/>
      <c r="AL45" s="53"/>
      <c r="AM45" s="85"/>
      <c r="AN45" s="86" t="str">
        <f ca="1">IF(AN46&lt;&gt;"","園児","")</f>
        <v/>
      </c>
      <c r="AO45" s="87"/>
      <c r="AP45" s="96" t="str">
        <f ca="1">IF(AN46&lt;&gt;"","先生","")</f>
        <v/>
      </c>
      <c r="AQ45" s="87"/>
      <c r="AR45" s="101"/>
      <c r="AS45" s="53"/>
      <c r="AT45" s="53"/>
      <c r="AU45" s="85"/>
      <c r="AV45" s="86" t="str">
        <f ca="1">IF(AV46&lt;&gt;"","園児","")</f>
        <v/>
      </c>
      <c r="AW45" s="87"/>
      <c r="AX45" s="96" t="str">
        <f ca="1">IF(AV46&lt;&gt;"","先生","")</f>
        <v/>
      </c>
      <c r="AY45" s="87"/>
      <c r="AZ45" s="101"/>
      <c r="BA45" s="53"/>
      <c r="BB45" s="85"/>
      <c r="BC45" s="86" t="str">
        <f ca="1">IF(BC46&lt;&gt;"","園児","")</f>
        <v/>
      </c>
      <c r="BD45" s="87"/>
      <c r="BE45" s="96" t="str">
        <f ca="1">IF(BC46&lt;&gt;"","先生","")</f>
        <v/>
      </c>
      <c r="BF45" s="87"/>
      <c r="BG45" s="101"/>
      <c r="BH45" s="53"/>
      <c r="BI45" s="53"/>
      <c r="BJ45" s="85"/>
      <c r="BK45" s="86" t="str">
        <f ca="1">IF(BK46&lt;&gt;"","園児","")</f>
        <v/>
      </c>
      <c r="BL45" s="87"/>
      <c r="BM45" s="96" t="str">
        <f ca="1">IF(BK46&lt;&gt;"","先生","")</f>
        <v/>
      </c>
      <c r="BN45" s="87"/>
      <c r="BO45" s="101"/>
      <c r="BP45" s="53"/>
      <c r="BQ45" s="85"/>
      <c r="BR45" s="86" t="str">
        <f ca="1">IF(BR46&lt;&gt;"","園児","")</f>
        <v/>
      </c>
      <c r="BS45" s="87"/>
      <c r="BT45" s="96" t="str">
        <f ca="1">IF(BR46&lt;&gt;"","先生","")</f>
        <v/>
      </c>
      <c r="BU45" s="87"/>
      <c r="BV45" s="101"/>
      <c r="BW45" s="53"/>
      <c r="BX45" s="77">
        <f>BX41+7</f>
        <v>35</v>
      </c>
      <c r="BY45" s="77" t="str" cm="1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77" t="str" cm="1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77" t="str" cm="1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77" t="str" cm="1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77" t="str" cm="1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77" t="str" cm="1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77" t="str" cm="1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77" t="str" cm="1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77" t="str" cm="1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77" t="str" cm="1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77">
        <f t="shared" ca="1" si="0"/>
        <v>0</v>
      </c>
      <c r="CJ45" s="77" t="b" cm="1">
        <f t="array" aca="1" ref="CJ45" ca="1">SUMPRODUCT((LEN(BY45:CH45)&gt;0)*1)&gt;0</f>
        <v>0</v>
      </c>
      <c r="CK45" s="77" t="str">
        <f t="array" aca="1" ref="CK45" ca="1">IFERROR(SMALL(IF(CI$1:CI$100&lt;&gt;0,CI$1:CI$100),ROW(A45)),"")</f>
        <v/>
      </c>
      <c r="CL45" s="77" t="str" cm="1">
        <f t="array" aca="1" ref="CL45" ca="1">IF($CK45&lt;&gt;"",
INDIRECT(""&amp;IF(COLUMN(BY45)&lt;=26,CHAR(COLUMN(BY45)+64),CHAR(INT((COLUMN(BY45)-1)/26)+64)&amp;CHAR(MOD(COLUMN(BY45)-1,26)+65))&amp;$CK45&amp;""),"")</f>
        <v/>
      </c>
      <c r="CM45" s="77" t="str" cm="1">
        <f t="array" aca="1" ref="CM45" ca="1">IF($CK45&lt;&gt;"",
INDIRECT(""&amp;IF(COLUMN(BZ45)&lt;=26,CHAR(COLUMN(BZ45)+64),CHAR(INT((COLUMN(BZ45)-1)/26)+64)&amp;CHAR(MOD(COLUMN(BZ45)-1,26)+65))&amp;$CK45&amp;""),"")</f>
        <v/>
      </c>
      <c r="CN45" s="77" t="str" cm="1">
        <f t="array" aca="1" ref="CN45" ca="1">IF($CK45&lt;&gt;"",
INDIRECT(""&amp;IF(COLUMN(CA45)&lt;=26,CHAR(COLUMN(CA45)+64),CHAR(INT((COLUMN(CA45)-1)/26)+64)&amp;CHAR(MOD(COLUMN(CA45)-1,26)+65))&amp;$CK45&amp;""),"")</f>
        <v/>
      </c>
      <c r="CO45" s="77" t="str" cm="1">
        <f t="array" aca="1" ref="CO45" ca="1">IF($CK45&lt;&gt;"",
INDIRECT(""&amp;IF(COLUMN(CB45)&lt;=26,CHAR(COLUMN(CB45)+64),CHAR(INT((COLUMN(CB45)-1)/26)+64)&amp;CHAR(MOD(COLUMN(CB45)-1,26)+65))&amp;$CK45&amp;""),"")</f>
        <v/>
      </c>
      <c r="CP45" s="77" t="str" cm="1">
        <f t="array" aca="1" ref="CP45" ca="1">IF($CK45&lt;&gt;"",
INDIRECT(""&amp;IF(COLUMN(CC45)&lt;=26,CHAR(COLUMN(CC45)+64),CHAR(INT((COLUMN(CC45)-1)/26)+64)&amp;CHAR(MOD(COLUMN(CC45)-1,26)+65))&amp;$CK45&amp;""),"")</f>
        <v/>
      </c>
      <c r="CQ45" s="77" t="str" cm="1">
        <f t="array" aca="1" ref="CQ45" ca="1">IF($CK45&lt;&gt;"",
INDIRECT(""&amp;IF(COLUMN(CD45)&lt;=26,CHAR(COLUMN(CD45)+64),CHAR(INT((COLUMN(CD45)-1)/26)+64)&amp;CHAR(MOD(COLUMN(CD45)-1,26)+65))&amp;$CK45&amp;""),"")</f>
        <v/>
      </c>
      <c r="CR45" s="77" t="str" cm="1">
        <f t="array" aca="1" ref="CR45" ca="1">IF($CK45&lt;&gt;"",
INDIRECT(""&amp;IF(COLUMN(CE45)&lt;=26,CHAR(COLUMN(CE45)+64),CHAR(INT((COLUMN(CE45)-1)/26)+64)&amp;CHAR(MOD(COLUMN(CE45)-1,26)+65))&amp;$CK45&amp;""),"")</f>
        <v/>
      </c>
      <c r="CS45" s="77" t="str" cm="1">
        <f t="array" aca="1" ref="CS45" ca="1">IF($CK45&lt;&gt;"",
INDIRECT(""&amp;IF(COLUMN(CF45)&lt;=26,CHAR(COLUMN(CF45)+64),CHAR(INT((COLUMN(CF45)-1)/26)+64)&amp;CHAR(MOD(COLUMN(CF45)-1,26)+65))&amp;$CK45&amp;""),"")</f>
        <v/>
      </c>
      <c r="CT45" s="77" t="str" cm="1">
        <f t="array" aca="1" ref="CT45" ca="1">IF($CK45&lt;&gt;"",
INDIRECT(""&amp;IF(COLUMN(CG45)&lt;=26,CHAR(COLUMN(CG45)+64),CHAR(INT((COLUMN(CG45)-1)/26)+64)&amp;CHAR(MOD(COLUMN(CG45)-1,26)+65))&amp;$CK45&amp;""),"")</f>
        <v/>
      </c>
      <c r="CU45" s="77" t="str" cm="1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1"/>
      <c r="C46" s="90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91"/>
      <c r="E46" s="9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91"/>
      <c r="G46" s="101"/>
      <c r="I46" s="11"/>
      <c r="J46" s="9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91"/>
      <c r="L46" s="9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91"/>
      <c r="N46" s="101"/>
      <c r="Q46" s="11"/>
      <c r="R46" s="90" t="str" cm="1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91"/>
      <c r="T46" s="9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91"/>
      <c r="V46" s="101"/>
      <c r="X46" s="11"/>
      <c r="Y46" s="9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91"/>
      <c r="AA46" s="9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91"/>
      <c r="AC46" s="101"/>
      <c r="AF46" s="11"/>
      <c r="AG46" s="90" t="str" cm="1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91"/>
      <c r="AI46" s="9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91"/>
      <c r="AK46" s="101"/>
      <c r="AM46" s="11"/>
      <c r="AN46" s="9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91"/>
      <c r="AP46" s="9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91"/>
      <c r="AR46" s="101"/>
      <c r="AU46" s="11"/>
      <c r="AV46" s="90" t="str" cm="1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91"/>
      <c r="AX46" s="9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91"/>
      <c r="AZ46" s="101"/>
      <c r="BB46" s="11"/>
      <c r="BC46" s="9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91"/>
      <c r="BE46" s="9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91"/>
      <c r="BG46" s="101"/>
      <c r="BJ46" s="11"/>
      <c r="BK46" s="90" t="str" cm="1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91"/>
      <c r="BM46" s="9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91"/>
      <c r="BO46" s="101"/>
      <c r="BQ46" s="11"/>
      <c r="BR46" s="9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91"/>
      <c r="BT46" s="9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91"/>
      <c r="BV46" s="101"/>
      <c r="BX46" s="77">
        <f>BX42+7</f>
        <v>77</v>
      </c>
      <c r="BY46" s="77" t="str" cm="1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77" t="str" cm="1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77" t="str" cm="1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77" t="str" cm="1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77" t="str" cm="1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77" t="str" cm="1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77" t="str" cm="1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77" t="str" cm="1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77" t="str" cm="1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77" t="str" cm="1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77">
        <f t="shared" ca="1" si="0"/>
        <v>0</v>
      </c>
      <c r="CJ46" s="77" t="b" cm="1">
        <f t="array" aca="1" ref="CJ46" ca="1">SUMPRODUCT((LEN(BY46:CH46)&gt;0)*1)&gt;0</f>
        <v>0</v>
      </c>
      <c r="CK46" s="77" t="str">
        <f t="array" aca="1" ref="CK46" ca="1">IFERROR(SMALL(IF(CI$1:CI$100&lt;&gt;0,CI$1:CI$100),ROW(A46)),"")</f>
        <v/>
      </c>
      <c r="CL46" s="77" t="str" cm="1">
        <f t="array" aca="1" ref="CL46" ca="1">IF($CK46&lt;&gt;"",
INDIRECT(""&amp;IF(COLUMN(BY46)&lt;=26,CHAR(COLUMN(BY46)+64),CHAR(INT((COLUMN(BY46)-1)/26)+64)&amp;CHAR(MOD(COLUMN(BY46)-1,26)+65))&amp;$CK46&amp;""),"")</f>
        <v/>
      </c>
      <c r="CM46" s="77" t="str" cm="1">
        <f t="array" aca="1" ref="CM46" ca="1">IF($CK46&lt;&gt;"",
INDIRECT(""&amp;IF(COLUMN(BZ46)&lt;=26,CHAR(COLUMN(BZ46)+64),CHAR(INT((COLUMN(BZ46)-1)/26)+64)&amp;CHAR(MOD(COLUMN(BZ46)-1,26)+65))&amp;$CK46&amp;""),"")</f>
        <v/>
      </c>
      <c r="CN46" s="77" t="str" cm="1">
        <f t="array" aca="1" ref="CN46" ca="1">IF($CK46&lt;&gt;"",
INDIRECT(""&amp;IF(COLUMN(CA46)&lt;=26,CHAR(COLUMN(CA46)+64),CHAR(INT((COLUMN(CA46)-1)/26)+64)&amp;CHAR(MOD(COLUMN(CA46)-1,26)+65))&amp;$CK46&amp;""),"")</f>
        <v/>
      </c>
      <c r="CO46" s="77" t="str" cm="1">
        <f t="array" aca="1" ref="CO46" ca="1">IF($CK46&lt;&gt;"",
INDIRECT(""&amp;IF(COLUMN(CB46)&lt;=26,CHAR(COLUMN(CB46)+64),CHAR(INT((COLUMN(CB46)-1)/26)+64)&amp;CHAR(MOD(COLUMN(CB46)-1,26)+65))&amp;$CK46&amp;""),"")</f>
        <v/>
      </c>
      <c r="CP46" s="77" t="str" cm="1">
        <f t="array" aca="1" ref="CP46" ca="1">IF($CK46&lt;&gt;"",
INDIRECT(""&amp;IF(COLUMN(CC46)&lt;=26,CHAR(COLUMN(CC46)+64),CHAR(INT((COLUMN(CC46)-1)/26)+64)&amp;CHAR(MOD(COLUMN(CC46)-1,26)+65))&amp;$CK46&amp;""),"")</f>
        <v/>
      </c>
      <c r="CQ46" s="77" t="str" cm="1">
        <f t="array" aca="1" ref="CQ46" ca="1">IF($CK46&lt;&gt;"",
INDIRECT(""&amp;IF(COLUMN(CD46)&lt;=26,CHAR(COLUMN(CD46)+64),CHAR(INT((COLUMN(CD46)-1)/26)+64)&amp;CHAR(MOD(COLUMN(CD46)-1,26)+65))&amp;$CK46&amp;""),"")</f>
        <v/>
      </c>
      <c r="CR46" s="77" t="str" cm="1">
        <f t="array" aca="1" ref="CR46" ca="1">IF($CK46&lt;&gt;"",
INDIRECT(""&amp;IF(COLUMN(CE46)&lt;=26,CHAR(COLUMN(CE46)+64),CHAR(INT((COLUMN(CE46)-1)/26)+64)&amp;CHAR(MOD(COLUMN(CE46)-1,26)+65))&amp;$CK46&amp;""),"")</f>
        <v/>
      </c>
      <c r="CS46" s="77" t="str" cm="1">
        <f t="array" aca="1" ref="CS46" ca="1">IF($CK46&lt;&gt;"",
INDIRECT(""&amp;IF(COLUMN(CF46)&lt;=26,CHAR(COLUMN(CF46)+64),CHAR(INT((COLUMN(CF46)-1)/26)+64)&amp;CHAR(MOD(COLUMN(CF46)-1,26)+65))&amp;$CK46&amp;""),"")</f>
        <v/>
      </c>
      <c r="CT46" s="77" t="str" cm="1">
        <f t="array" aca="1" ref="CT46" ca="1">IF($CK46&lt;&gt;"",
INDIRECT(""&amp;IF(COLUMN(CG46)&lt;=26,CHAR(COLUMN(CG46)+64),CHAR(INT((COLUMN(CG46)-1)/26)+64)&amp;CHAR(MOD(COLUMN(CG46)-1,26)+65))&amp;$CK46&amp;""),"")</f>
        <v/>
      </c>
      <c r="CU46" s="77" t="str" cm="1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8"/>
      <c r="C47" s="92"/>
      <c r="D47" s="92"/>
      <c r="E47" s="92"/>
      <c r="F47" s="92"/>
      <c r="G47" s="102"/>
      <c r="I47" s="8"/>
      <c r="J47" s="92"/>
      <c r="K47" s="92"/>
      <c r="L47" s="92"/>
      <c r="M47" s="92"/>
      <c r="N47" s="102"/>
      <c r="Q47" s="8"/>
      <c r="R47" s="92"/>
      <c r="S47" s="92"/>
      <c r="T47" s="92"/>
      <c r="U47" s="92"/>
      <c r="V47" s="102"/>
      <c r="X47" s="8"/>
      <c r="Y47" s="92"/>
      <c r="Z47" s="92"/>
      <c r="AA47" s="92"/>
      <c r="AB47" s="92"/>
      <c r="AC47" s="102"/>
      <c r="AF47" s="8"/>
      <c r="AG47" s="92"/>
      <c r="AH47" s="92"/>
      <c r="AI47" s="92"/>
      <c r="AJ47" s="92"/>
      <c r="AK47" s="102"/>
      <c r="AM47" s="8"/>
      <c r="AN47" s="92"/>
      <c r="AO47" s="92"/>
      <c r="AP47" s="92"/>
      <c r="AQ47" s="92"/>
      <c r="AR47" s="102"/>
      <c r="AU47" s="8"/>
      <c r="AV47" s="92"/>
      <c r="AW47" s="92"/>
      <c r="AX47" s="92"/>
      <c r="AY47" s="92"/>
      <c r="AZ47" s="102"/>
      <c r="BB47" s="8"/>
      <c r="BC47" s="92"/>
      <c r="BD47" s="92"/>
      <c r="BE47" s="92"/>
      <c r="BF47" s="92"/>
      <c r="BG47" s="102"/>
      <c r="BJ47" s="8"/>
      <c r="BK47" s="92"/>
      <c r="BL47" s="92"/>
      <c r="BM47" s="92"/>
      <c r="BN47" s="92"/>
      <c r="BO47" s="102"/>
      <c r="BQ47" s="8"/>
      <c r="BR47" s="92"/>
      <c r="BS47" s="92"/>
      <c r="BT47" s="92"/>
      <c r="BU47" s="92"/>
      <c r="BV47" s="102"/>
      <c r="BX47">
        <f>BX43+7</f>
        <v>35</v>
      </c>
      <c r="BY47" s="77" t="str" cm="1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77" t="str" cm="1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77" t="str" cm="1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77" t="str" cm="1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77" t="str" cm="1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77" t="str" cm="1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77" t="str" cm="1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77" t="str" cm="1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77" t="str" cm="1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77" t="str" cm="1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77">
        <f t="shared" ca="1" si="0"/>
        <v>0</v>
      </c>
      <c r="CJ47" s="77" t="b" cm="1">
        <f t="array" aca="1" ref="CJ47" ca="1">SUMPRODUCT((LEN(BY47:CH47)&gt;0)*1)&gt;0</f>
        <v>0</v>
      </c>
      <c r="CK47" s="77" t="str">
        <f t="array" aca="1" ref="CK47" ca="1">IFERROR(SMALL(IF(CI$1:CI$100&lt;&gt;0,CI$1:CI$100),ROW(A47)),"")</f>
        <v/>
      </c>
      <c r="CL47" s="77" t="str" cm="1">
        <f t="array" aca="1" ref="CL47" ca="1">IF($CK47&lt;&gt;"",
INDIRECT(""&amp;IF(COLUMN(BY47)&lt;=26,CHAR(COLUMN(BY47)+64),CHAR(INT((COLUMN(BY47)-1)/26)+64)&amp;CHAR(MOD(COLUMN(BY47)-1,26)+65))&amp;$CK47&amp;""),"")</f>
        <v/>
      </c>
      <c r="CM47" s="77" t="str" cm="1">
        <f t="array" aca="1" ref="CM47" ca="1">IF($CK47&lt;&gt;"",
INDIRECT(""&amp;IF(COLUMN(BZ47)&lt;=26,CHAR(COLUMN(BZ47)+64),CHAR(INT((COLUMN(BZ47)-1)/26)+64)&amp;CHAR(MOD(COLUMN(BZ47)-1,26)+65))&amp;$CK47&amp;""),"")</f>
        <v/>
      </c>
      <c r="CN47" s="77" t="str" cm="1">
        <f t="array" aca="1" ref="CN47" ca="1">IF($CK47&lt;&gt;"",
INDIRECT(""&amp;IF(COLUMN(CA47)&lt;=26,CHAR(COLUMN(CA47)+64),CHAR(INT((COLUMN(CA47)-1)/26)+64)&amp;CHAR(MOD(COLUMN(CA47)-1,26)+65))&amp;$CK47&amp;""),"")</f>
        <v/>
      </c>
      <c r="CO47" s="77" t="str" cm="1">
        <f t="array" aca="1" ref="CO47" ca="1">IF($CK47&lt;&gt;"",
INDIRECT(""&amp;IF(COLUMN(CB47)&lt;=26,CHAR(COLUMN(CB47)+64),CHAR(INT((COLUMN(CB47)-1)/26)+64)&amp;CHAR(MOD(COLUMN(CB47)-1,26)+65))&amp;$CK47&amp;""),"")</f>
        <v/>
      </c>
      <c r="CP47" s="77" t="str" cm="1">
        <f t="array" aca="1" ref="CP47" ca="1">IF($CK47&lt;&gt;"",
INDIRECT(""&amp;IF(COLUMN(CC47)&lt;=26,CHAR(COLUMN(CC47)+64),CHAR(INT((COLUMN(CC47)-1)/26)+64)&amp;CHAR(MOD(COLUMN(CC47)-1,26)+65))&amp;$CK47&amp;""),"")</f>
        <v/>
      </c>
      <c r="CQ47" s="77" t="str" cm="1">
        <f t="array" aca="1" ref="CQ47" ca="1">IF($CK47&lt;&gt;"",
INDIRECT(""&amp;IF(COLUMN(CD47)&lt;=26,CHAR(COLUMN(CD47)+64),CHAR(INT((COLUMN(CD47)-1)/26)+64)&amp;CHAR(MOD(COLUMN(CD47)-1,26)+65))&amp;$CK47&amp;""),"")</f>
        <v/>
      </c>
      <c r="CR47" s="77" t="str" cm="1">
        <f t="array" aca="1" ref="CR47" ca="1">IF($CK47&lt;&gt;"",
INDIRECT(""&amp;IF(COLUMN(CE47)&lt;=26,CHAR(COLUMN(CE47)+64),CHAR(INT((COLUMN(CE47)-1)/26)+64)&amp;CHAR(MOD(COLUMN(CE47)-1,26)+65))&amp;$CK47&amp;""),"")</f>
        <v/>
      </c>
      <c r="CS47" s="77" t="str" cm="1">
        <f t="array" aca="1" ref="CS47" ca="1">IF($CK47&lt;&gt;"",
INDIRECT(""&amp;IF(COLUMN(CF47)&lt;=26,CHAR(COLUMN(CF47)+64),CHAR(INT((COLUMN(CF47)-1)/26)+64)&amp;CHAR(MOD(COLUMN(CF47)-1,26)+65))&amp;$CK47&amp;""),"")</f>
        <v/>
      </c>
      <c r="CT47" s="77" t="str" cm="1">
        <f t="array" aca="1" ref="CT47" ca="1">IF($CK47&lt;&gt;"",
INDIRECT(""&amp;IF(COLUMN(CG47)&lt;=26,CHAR(COLUMN(CG47)+64),CHAR(INT((COLUMN(CG47)-1)/26)+64)&amp;CHAR(MOD(COLUMN(CG47)-1,26)+65))&amp;$CK47&amp;""),"")</f>
        <v/>
      </c>
      <c r="CU47" s="77" t="str" cm="1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77" customFormat="1" ht="22.2" x14ac:dyDescent="0.55000000000000004">
      <c r="A48" s="53"/>
      <c r="B48" s="84" t="str">
        <f ca="1">IF(C46&lt;&gt;"","パン箱","")</f>
        <v/>
      </c>
      <c r="C48" s="82" t="str">
        <f ca="1">IF(C46&lt;&gt;"",IF(OR(COUNTIF('盛付札（関数）'!C44,"*キャラ*"),COUNTIF('盛付札（関数）'!C44,"*赤*")),24,
VLOOKUP('盛付札（関数）'!C44,商品マスタ一覧!$D:$I,6,FALSE)),"")</f>
        <v/>
      </c>
      <c r="D48" s="84" t="str">
        <f ca="1">IF(C46&lt;&gt;"","　端数","")</f>
        <v/>
      </c>
      <c r="E48" s="82"/>
      <c r="F48" s="84" t="str">
        <f ca="1">IF(C46&lt;&gt;"","アレルギー","")</f>
        <v/>
      </c>
      <c r="G48" s="101"/>
      <c r="H48" s="53"/>
      <c r="I48" s="84" t="str">
        <f ca="1">IF(J46&lt;&gt;"","パン箱","")</f>
        <v/>
      </c>
      <c r="J48" s="82" t="str">
        <f ca="1">IF(J46&lt;&gt;"",IF(OR(COUNTIF('盛付札（関数）'!J44,"*キャラ*"),COUNTIF('盛付札（関数）'!J44,"*赤*")),24,
VLOOKUP('盛付札（関数）'!J44,商品マスタ一覧!$D:$I,6,FALSE)),"")</f>
        <v/>
      </c>
      <c r="K48" s="84" t="str">
        <f ca="1">IF(J46&lt;&gt;"","　端数","")</f>
        <v/>
      </c>
      <c r="L48" s="82"/>
      <c r="M48" s="84" t="str">
        <f ca="1">IF(J46&lt;&gt;"","アレルギー","")</f>
        <v/>
      </c>
      <c r="N48" s="101"/>
      <c r="O48" s="53"/>
      <c r="P48" s="53"/>
      <c r="Q48" s="84" t="str">
        <f ca="1">IF(R46&lt;&gt;"","パン箱","")</f>
        <v/>
      </c>
      <c r="R48" s="82" t="str">
        <f ca="1">IF(R46&lt;&gt;"",IF(OR(COUNTIF('盛付札（関数）'!R44,"*キャラ*"),COUNTIF('盛付札（関数）'!R44,"*赤*")),24,
VLOOKUP('盛付札（関数）'!R44,商品マスタ一覧!$D:$I,6,FALSE)),"")</f>
        <v/>
      </c>
      <c r="S48" s="84" t="str">
        <f ca="1">IF(R46&lt;&gt;"","　端数","")</f>
        <v/>
      </c>
      <c r="T48" s="82"/>
      <c r="U48" s="84" t="str">
        <f ca="1">IF(R46&lt;&gt;"","アレルギー","")</f>
        <v/>
      </c>
      <c r="V48" s="101"/>
      <c r="W48" s="53"/>
      <c r="X48" s="84" t="str">
        <f ca="1">IF(Y46&lt;&gt;"","パン箱","")</f>
        <v/>
      </c>
      <c r="Y48" s="82" t="str">
        <f ca="1">IF(Y46&lt;&gt;"",IF(OR(COUNTIF('盛付札（関数）'!Y44,"*キャラ*"),COUNTIF('盛付札（関数）'!Y44,"*赤*")),24,
VLOOKUP('盛付札（関数）'!Y44,商品マスタ一覧!$D:$I,6,FALSE)),"")</f>
        <v/>
      </c>
      <c r="Z48" s="84" t="str">
        <f ca="1">IF(Y46&lt;&gt;"","　端数","")</f>
        <v/>
      </c>
      <c r="AA48" s="82"/>
      <c r="AB48" s="84" t="str">
        <f ca="1">IF(Y46&lt;&gt;"","アレルギー","")</f>
        <v/>
      </c>
      <c r="AC48" s="101"/>
      <c r="AD48" s="53"/>
      <c r="AE48" s="53"/>
      <c r="AF48" s="84" t="str">
        <f ca="1">IF(AG46&lt;&gt;"","パン箱","")</f>
        <v/>
      </c>
      <c r="AG48" s="82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84" t="str">
        <f ca="1">IF(AG46&lt;&gt;"","　端数","")</f>
        <v/>
      </c>
      <c r="AI48" s="82"/>
      <c r="AJ48" s="84" t="str">
        <f ca="1">IF(AG46&lt;&gt;"","アレルギー","")</f>
        <v/>
      </c>
      <c r="AK48" s="101"/>
      <c r="AL48" s="53"/>
      <c r="AM48" s="84" t="str">
        <f ca="1">IF(AN46&lt;&gt;"","パン箱","")</f>
        <v/>
      </c>
      <c r="AN48" s="82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84" t="str">
        <f ca="1">IF(AN46&lt;&gt;"","　端数","")</f>
        <v/>
      </c>
      <c r="AP48" s="82"/>
      <c r="AQ48" s="84" t="str">
        <f ca="1">IF(AN46&lt;&gt;"","アレルギー","")</f>
        <v/>
      </c>
      <c r="AR48" s="101"/>
      <c r="AS48" s="53"/>
      <c r="AT48" s="53"/>
      <c r="AU48" s="84" t="str">
        <f ca="1">IF(AV46&lt;&gt;"","パン箱","")</f>
        <v/>
      </c>
      <c r="AV48" s="82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84" t="str">
        <f ca="1">IF(AV46&lt;&gt;"","　端数","")</f>
        <v/>
      </c>
      <c r="AX48" s="82"/>
      <c r="AY48" s="84" t="str">
        <f ca="1">IF(AV46&lt;&gt;"","アレルギー","")</f>
        <v/>
      </c>
      <c r="AZ48" s="101"/>
      <c r="BA48" s="53"/>
      <c r="BB48" s="84" t="str">
        <f ca="1">IF(BC46&lt;&gt;"","パン箱","")</f>
        <v/>
      </c>
      <c r="BC48" s="82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84" t="str">
        <f ca="1">IF(BC46&lt;&gt;"","　端数","")</f>
        <v/>
      </c>
      <c r="BE48" s="82"/>
      <c r="BF48" s="84" t="str">
        <f ca="1">IF(BC46&lt;&gt;"","アレルギー","")</f>
        <v/>
      </c>
      <c r="BG48" s="101"/>
      <c r="BH48" s="53"/>
      <c r="BI48" s="53"/>
      <c r="BJ48" s="84" t="str">
        <f ca="1">IF(BK46&lt;&gt;"","パン箱","")</f>
        <v/>
      </c>
      <c r="BK48" s="82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84" t="str">
        <f ca="1">IF(BK46&lt;&gt;"","　端数","")</f>
        <v/>
      </c>
      <c r="BM48" s="82"/>
      <c r="BN48" s="84" t="str">
        <f ca="1">IF(BK46&lt;&gt;"","アレルギー","")</f>
        <v/>
      </c>
      <c r="BO48" s="101"/>
      <c r="BP48" s="53"/>
      <c r="BQ48" s="84" t="str">
        <f ca="1">IF(BR46&lt;&gt;"","パン箱","")</f>
        <v/>
      </c>
      <c r="BR48" s="82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84" t="str">
        <f ca="1">IF(BR46&lt;&gt;"","　端数","")</f>
        <v/>
      </c>
      <c r="BT48" s="82"/>
      <c r="BU48" s="84" t="str">
        <f ca="1">IF(BR46&lt;&gt;"","アレルギー","")</f>
        <v/>
      </c>
      <c r="BV48" s="101"/>
      <c r="BW48" s="53"/>
      <c r="BX48" s="77">
        <f>BX44+7</f>
        <v>77</v>
      </c>
      <c r="BY48" s="77" t="str" cm="1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77" t="str" cm="1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77" t="str" cm="1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77" t="str" cm="1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77" t="str" cm="1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77" t="str" cm="1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77" t="str" cm="1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77" t="str" cm="1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77" t="str" cm="1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77" t="str" cm="1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77">
        <f t="shared" ca="1" si="0"/>
        <v>0</v>
      </c>
      <c r="CJ48" s="77" t="b" cm="1">
        <f t="array" aca="1" ref="CJ48" ca="1">SUMPRODUCT((LEN(BY48:CH48)&gt;0)*1)&gt;0</f>
        <v>0</v>
      </c>
      <c r="CK48" s="77" t="str">
        <f t="array" aca="1" ref="CK48" ca="1">IFERROR(SMALL(IF(CI$1:CI$100&lt;&gt;0,CI$1:CI$100),ROW(A48)),"")</f>
        <v/>
      </c>
      <c r="CL48" s="77" t="str" cm="1">
        <f t="array" aca="1" ref="CL48" ca="1">IF($CK48&lt;&gt;"",
INDIRECT(""&amp;IF(COLUMN(BY48)&lt;=26,CHAR(COLUMN(BY48)+64),CHAR(INT((COLUMN(BY48)-1)/26)+64)&amp;CHAR(MOD(COLUMN(BY48)-1,26)+65))&amp;$CK48&amp;""),"")</f>
        <v/>
      </c>
      <c r="CM48" s="77" t="str" cm="1">
        <f t="array" aca="1" ref="CM48" ca="1">IF($CK48&lt;&gt;"",
INDIRECT(""&amp;IF(COLUMN(BZ48)&lt;=26,CHAR(COLUMN(BZ48)+64),CHAR(INT((COLUMN(BZ48)-1)/26)+64)&amp;CHAR(MOD(COLUMN(BZ48)-1,26)+65))&amp;$CK48&amp;""),"")</f>
        <v/>
      </c>
      <c r="CN48" s="77" t="str" cm="1">
        <f t="array" aca="1" ref="CN48" ca="1">IF($CK48&lt;&gt;"",
INDIRECT(""&amp;IF(COLUMN(CA48)&lt;=26,CHAR(COLUMN(CA48)+64),CHAR(INT((COLUMN(CA48)-1)/26)+64)&amp;CHAR(MOD(COLUMN(CA48)-1,26)+65))&amp;$CK48&amp;""),"")</f>
        <v/>
      </c>
      <c r="CO48" s="77" t="str" cm="1">
        <f t="array" aca="1" ref="CO48" ca="1">IF($CK48&lt;&gt;"",
INDIRECT(""&amp;IF(COLUMN(CB48)&lt;=26,CHAR(COLUMN(CB48)+64),CHAR(INT((COLUMN(CB48)-1)/26)+64)&amp;CHAR(MOD(COLUMN(CB48)-1,26)+65))&amp;$CK48&amp;""),"")</f>
        <v/>
      </c>
      <c r="CP48" s="77" t="str" cm="1">
        <f t="array" aca="1" ref="CP48" ca="1">IF($CK48&lt;&gt;"",
INDIRECT(""&amp;IF(COLUMN(CC48)&lt;=26,CHAR(COLUMN(CC48)+64),CHAR(INT((COLUMN(CC48)-1)/26)+64)&amp;CHAR(MOD(COLUMN(CC48)-1,26)+65))&amp;$CK48&amp;""),"")</f>
        <v/>
      </c>
      <c r="CQ48" s="77" t="str" cm="1">
        <f t="array" aca="1" ref="CQ48" ca="1">IF($CK48&lt;&gt;"",
INDIRECT(""&amp;IF(COLUMN(CD48)&lt;=26,CHAR(COLUMN(CD48)+64),CHAR(INT((COLUMN(CD48)-1)/26)+64)&amp;CHAR(MOD(COLUMN(CD48)-1,26)+65))&amp;$CK48&amp;""),"")</f>
        <v/>
      </c>
      <c r="CR48" s="77" t="str" cm="1">
        <f t="array" aca="1" ref="CR48" ca="1">IF($CK48&lt;&gt;"",
INDIRECT(""&amp;IF(COLUMN(CE48)&lt;=26,CHAR(COLUMN(CE48)+64),CHAR(INT((COLUMN(CE48)-1)/26)+64)&amp;CHAR(MOD(COLUMN(CE48)-1,26)+65))&amp;$CK48&amp;""),"")</f>
        <v/>
      </c>
      <c r="CS48" s="77" t="str" cm="1">
        <f t="array" aca="1" ref="CS48" ca="1">IF($CK48&lt;&gt;"",
INDIRECT(""&amp;IF(COLUMN(CF48)&lt;=26,CHAR(COLUMN(CF48)+64),CHAR(INT((COLUMN(CF48)-1)/26)+64)&amp;CHAR(MOD(COLUMN(CF48)-1,26)+65))&amp;$CK48&amp;""),"")</f>
        <v/>
      </c>
      <c r="CT48" s="77" t="str" cm="1">
        <f t="array" aca="1" ref="CT48" ca="1">IF($CK48&lt;&gt;"",
INDIRECT(""&amp;IF(COLUMN(CG48)&lt;=26,CHAR(COLUMN(CG48)+64),CHAR(INT((COLUMN(CG48)-1)/26)+64)&amp;CHAR(MOD(COLUMN(CG48)-1,26)+65))&amp;$CK48&amp;""),"")</f>
        <v/>
      </c>
      <c r="CU48" s="77" t="str" cm="1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97" t="str">
        <f ca="1">IF(C46&lt;&gt;"",
IFERROR(INT(C46/C48),""),"")</f>
        <v/>
      </c>
      <c r="C49" s="95"/>
      <c r="D49" s="97" t="str">
        <f ca="1">IFERROR(MOD(C46,C48),"")</f>
        <v/>
      </c>
      <c r="E49" s="95"/>
      <c r="F49" s="98" t="str" cm="1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MATCH(C46,INDIRECT("'数出表_Excel（アレルギー入力）'!"&amp;B1-1&amp;":"&amp;B1-1&amp;""),0)-1),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MATCH(C46,INDIRECT("'数出表_Excel（アレルギー入力）'!"&amp;B1-1&amp;":"&amp;B1-1&amp;""),0)-1),
 "")="",0,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MATCH(C46,INDIRECT("'数出表_Excel（アレルギー入力）'!"&amp;B1-1&amp;":"&amp;B1-1&amp;""),0)-1),
 "")),0),"")</f>
        <v/>
      </c>
      <c r="G49" s="99"/>
      <c r="I49" s="97" t="str">
        <f ca="1">IF(J46&lt;&gt;"",
IFERROR(INT(J46/J48),""),"")</f>
        <v/>
      </c>
      <c r="J49" s="95"/>
      <c r="K49" s="97" t="str">
        <f ca="1">IFERROR(MOD(J46,J48),"")</f>
        <v/>
      </c>
      <c r="L49" s="95"/>
      <c r="M49" s="98" t="str" cm="1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MATCH(J46,INDIRECT("'数出表_Excel（アレルギー入力）'!"&amp;I1-1&amp;":"&amp;I1-1&amp;""),0)-1),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MATCH(J46,INDIRECT("'数出表_Excel（アレルギー入力）'!"&amp;I1-1&amp;":"&amp;I1-1&amp;""),0)-1),
 "")="",0,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MATCH(J46,INDIRECT("'数出表_Excel（アレルギー入力）'!"&amp;I1-1&amp;":"&amp;I1-1&amp;""),0)-1),
 "")),0),"")</f>
        <v/>
      </c>
      <c r="N49" s="99"/>
      <c r="Q49" s="97" t="str">
        <f ca="1">IF(R46&lt;&gt;"",
IFERROR(INT(R46/R48),""),"")</f>
        <v/>
      </c>
      <c r="R49" s="95"/>
      <c r="S49" s="97" t="str">
        <f ca="1">IFERROR(MOD(R46,R48),"")</f>
        <v/>
      </c>
      <c r="T49" s="95"/>
      <c r="U49" s="98" t="str" cm="1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MATCH(R46,INDIRECT("'数出表_Excel（アレルギー入力）'!"&amp;Q1-1&amp;":"&amp;Q1-1&amp;""),0)-1),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MATCH(R46,INDIRECT("'数出表_Excel（アレルギー入力）'!"&amp;Q1-1&amp;":"&amp;Q1-1&amp;""),0)-1),
 "")="",0,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MATCH(R46,INDIRECT("'数出表_Excel（アレルギー入力）'!"&amp;Q1-1&amp;":"&amp;Q1-1&amp;""),0)-1),
 "")),0),"")</f>
        <v/>
      </c>
      <c r="V49" s="99"/>
      <c r="X49" s="97" t="str">
        <f ca="1">IF(Y46&lt;&gt;"",
IFERROR(INT(Y46/Y48),""),"")</f>
        <v/>
      </c>
      <c r="Y49" s="95"/>
      <c r="Z49" s="97" t="str">
        <f ca="1">IFERROR(MOD(Y46,Y48),"")</f>
        <v/>
      </c>
      <c r="AA49" s="95"/>
      <c r="AB49" s="98" t="str" cm="1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MATCH(Y46,INDIRECT("'数出表_Excel（アレルギー入力）'!"&amp;X1-1&amp;":"&amp;X1-1&amp;""),0)-1),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MATCH(Y46,INDIRECT("'数出表_Excel（アレルギー入力）'!"&amp;X1-1&amp;":"&amp;X1-1&amp;""),0)-1),
 "")="",0,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MATCH(Y46,INDIRECT("'数出表_Excel（アレルギー入力）'!"&amp;X1-1&amp;":"&amp;X1-1&amp;""),0)-1),
 "")),0),"")</f>
        <v/>
      </c>
      <c r="AC49" s="99"/>
      <c r="AF49" s="97" t="str">
        <f ca="1">IF(AG46&lt;&gt;"",
IFERROR(INT(AG46/AG48),""),"")</f>
        <v/>
      </c>
      <c r="AG49" s="95"/>
      <c r="AH49" s="97" t="str">
        <f ca="1">IFERROR(MOD(AG46,AG48),"")</f>
        <v/>
      </c>
      <c r="AI49" s="95"/>
      <c r="AJ49" s="98" t="str" cm="1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MATCH(AG46,INDIRECT("'数出表_Excel（アレルギー入力）'!"&amp;AF1-1&amp;":"&amp;AF1-1&amp;""),0)-1),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MATCH(AG46,INDIRECT("'数出表_Excel（アレルギー入力）'!"&amp;AF1-1&amp;":"&amp;AF1-1&amp;""),0)-1),
 "")="",0,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MATCH(AG46,INDIRECT("'数出表_Excel（アレルギー入力）'!"&amp;AF1-1&amp;":"&amp;AF1-1&amp;""),0)-1),
 "")),0),"")</f>
        <v/>
      </c>
      <c r="AK49" s="99"/>
      <c r="AM49" s="97" t="str">
        <f ca="1">IF(AN46&lt;&gt;"",
IFERROR(INT(AN46/AN48),""),"")</f>
        <v/>
      </c>
      <c r="AN49" s="95"/>
      <c r="AO49" s="97" t="str">
        <f ca="1">IFERROR(MOD(AN46,AN48),"")</f>
        <v/>
      </c>
      <c r="AP49" s="95"/>
      <c r="AQ49" s="98" t="str" cm="1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MATCH(AN46,INDIRECT("'数出表_Excel（アレルギー入力）'!"&amp;AM1-1&amp;":"&amp;AM1-1&amp;""),0)-1),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MATCH(AN46,INDIRECT("'数出表_Excel（アレルギー入力）'!"&amp;AM1-1&amp;":"&amp;AM1-1&amp;""),0)-1),
 "")="",0,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MATCH(AN46,INDIRECT("'数出表_Excel（アレルギー入力）'!"&amp;AM1-1&amp;":"&amp;AM1-1&amp;""),0)-1),
 "")),0),"")</f>
        <v/>
      </c>
      <c r="AR49" s="99"/>
      <c r="AU49" s="97" t="str">
        <f ca="1">IF(AV46&lt;&gt;"",
IFERROR(INT(AV46/AV48),""),"")</f>
        <v/>
      </c>
      <c r="AV49" s="95"/>
      <c r="AW49" s="97" t="str">
        <f ca="1">IFERROR(MOD(AV46,AV48),"")</f>
        <v/>
      </c>
      <c r="AX49" s="95"/>
      <c r="AY49" s="98" t="str" cm="1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MATCH(AV46,INDIRECT("'数出表_Excel（アレルギー入力）'!"&amp;AU1-1&amp;":"&amp;AU1-1&amp;""),0)-1),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MATCH(AV46,INDIRECT("'数出表_Excel（アレルギー入力）'!"&amp;AU1-1&amp;":"&amp;AU1-1&amp;""),0)-1),
 "")="",0,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MATCH(AV46,INDIRECT("'数出表_Excel（アレルギー入力）'!"&amp;AU1-1&amp;":"&amp;AU1-1&amp;""),0)-1),
 "")),0),"")</f>
        <v/>
      </c>
      <c r="AZ49" s="99"/>
      <c r="BB49" s="97" t="str">
        <f ca="1">IF(BC46&lt;&gt;"",
IFERROR(INT(BC46/BC48),""),"")</f>
        <v/>
      </c>
      <c r="BC49" s="95"/>
      <c r="BD49" s="97" t="str">
        <f ca="1">IFERROR(MOD(BC46,BC48),"")</f>
        <v/>
      </c>
      <c r="BE49" s="95"/>
      <c r="BF49" s="98" t="str" cm="1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MATCH(BC46,INDIRECT("'数出表_Excel（アレルギー入力）'!"&amp;BB1-1&amp;":"&amp;BB1-1&amp;""),0)-1),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MATCH(BC46,INDIRECT("'数出表_Excel（アレルギー入力）'!"&amp;BB1-1&amp;":"&amp;BB1-1&amp;""),0)-1),
 "")="",0,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MATCH(BC46,INDIRECT("'数出表_Excel（アレルギー入力）'!"&amp;BB1-1&amp;":"&amp;BB1-1&amp;""),0)-1),
 "")),0),"")</f>
        <v/>
      </c>
      <c r="BG49" s="99"/>
      <c r="BJ49" s="97" t="str">
        <f ca="1">IF(BK46&lt;&gt;"",
IFERROR(INT(BK46/BK48),""),"")</f>
        <v/>
      </c>
      <c r="BK49" s="95"/>
      <c r="BL49" s="97" t="str">
        <f ca="1">IFERROR(MOD(BK46,BK48),"")</f>
        <v/>
      </c>
      <c r="BM49" s="95"/>
      <c r="BN49" s="98" t="str" cm="1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MATCH(BK46,INDIRECT("'数出表_Excel（アレルギー入力）'!"&amp;BJ1-1&amp;":"&amp;BJ1-1&amp;""),0)-1),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MATCH(BK46,INDIRECT("'数出表_Excel（アレルギー入力）'!"&amp;BJ1-1&amp;":"&amp;BJ1-1&amp;""),0)-1),
 "")="",0,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MATCH(BK46,INDIRECT("'数出表_Excel（アレルギー入力）'!"&amp;BJ1-1&amp;":"&amp;BJ1-1&amp;""),0)-1),
 "")),0),"")</f>
        <v/>
      </c>
      <c r="BO49" s="99"/>
      <c r="BQ49" s="97" t="str">
        <f ca="1">IF(BR46&lt;&gt;"",
IFERROR(INT(BR46/BR48),""),"")</f>
        <v/>
      </c>
      <c r="BR49" s="95"/>
      <c r="BS49" s="97" t="str">
        <f ca="1">IFERROR(MOD(BR46,BR48),"")</f>
        <v/>
      </c>
      <c r="BT49" s="95"/>
      <c r="BU49" s="98" t="str" cm="1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MATCH(BR46,INDIRECT("'数出表_Excel（アレルギー入力）'!"&amp;BQ1-1&amp;":"&amp;BQ1-1&amp;""),0)-1),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MATCH(BR46,INDIRECT("'数出表_Excel（アレルギー入力）'!"&amp;BQ1-1&amp;":"&amp;BQ1-1&amp;""),0)-1),
 "")="",0,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MATCH(BR46,INDIRECT("'数出表_Excel（アレルギー入力）'!"&amp;BQ1-1&amp;":"&amp;BQ1-1&amp;""),0)-1),
 "")),0),"")</f>
        <v/>
      </c>
      <c r="BV49" s="99"/>
      <c r="BX49" s="77"/>
      <c r="BY49" s="115" t="str">
        <f ca="1">AG1</f>
        <v/>
      </c>
      <c r="BZ49" s="115" t="str">
        <f ca="1">AG2</f>
        <v/>
      </c>
      <c r="CA49" s="115" t="str">
        <f ca="1">AI2</f>
        <v/>
      </c>
      <c r="CB49" s="116" t="str">
        <f ca="1">AJ2</f>
        <v/>
      </c>
      <c r="CC49" s="115" t="str">
        <f ca="1">AG4</f>
        <v/>
      </c>
      <c r="CD49" s="115" t="str">
        <f ca="1">AI4</f>
        <v/>
      </c>
      <c r="CE49" s="115" t="str">
        <f ca="1">AG6</f>
        <v/>
      </c>
      <c r="CF49" s="115" t="str">
        <f ca="1">AF7</f>
        <v/>
      </c>
      <c r="CG49" s="115" t="str">
        <f ca="1">AH7</f>
        <v/>
      </c>
      <c r="CH49" s="115" t="str">
        <f ca="1">AJ7</f>
        <v/>
      </c>
      <c r="CI49" s="77">
        <f t="shared" ca="1" si="0"/>
        <v>0</v>
      </c>
      <c r="CJ49" s="77" t="b" cm="1">
        <f t="array" aca="1" ref="CJ49" ca="1">SUMPRODUCT((LEN(BY49:CH49)&gt;0)*1)&gt;0</f>
        <v>0</v>
      </c>
      <c r="CK49" s="77" t="str">
        <f t="array" aca="1" ref="CK49" ca="1">IFERROR(SMALL(IF(CI$1:CI$100&lt;&gt;0,CI$1:CI$100),ROW(A49)),"")</f>
        <v/>
      </c>
      <c r="CL49" s="77" t="str" cm="1">
        <f t="array" aca="1" ref="CL49" ca="1">IF($CK49&lt;&gt;"",
INDIRECT(""&amp;IF(COLUMN(BY49)&lt;=26,CHAR(COLUMN(BY49)+64),CHAR(INT((COLUMN(BY49)-1)/26)+64)&amp;CHAR(MOD(COLUMN(BY49)-1,26)+65))&amp;$CK49&amp;""),"")</f>
        <v/>
      </c>
      <c r="CM49" s="77" t="str" cm="1">
        <f t="array" aca="1" ref="CM49" ca="1">IF($CK49&lt;&gt;"",
INDIRECT(""&amp;IF(COLUMN(BZ49)&lt;=26,CHAR(COLUMN(BZ49)+64),CHAR(INT((COLUMN(BZ49)-1)/26)+64)&amp;CHAR(MOD(COLUMN(BZ49)-1,26)+65))&amp;$CK49&amp;""),"")</f>
        <v/>
      </c>
      <c r="CN49" s="77" t="str" cm="1">
        <f t="array" aca="1" ref="CN49" ca="1">IF($CK49&lt;&gt;"",
INDIRECT(""&amp;IF(COLUMN(CA49)&lt;=26,CHAR(COLUMN(CA49)+64),CHAR(INT((COLUMN(CA49)-1)/26)+64)&amp;CHAR(MOD(COLUMN(CA49)-1,26)+65))&amp;$CK49&amp;""),"")</f>
        <v/>
      </c>
      <c r="CO49" s="77" t="str" cm="1">
        <f t="array" aca="1" ref="CO49" ca="1">IF($CK49&lt;&gt;"",
INDIRECT(""&amp;IF(COLUMN(CB49)&lt;=26,CHAR(COLUMN(CB49)+64),CHAR(INT((COLUMN(CB49)-1)/26)+64)&amp;CHAR(MOD(COLUMN(CB49)-1,26)+65))&amp;$CK49&amp;""),"")</f>
        <v/>
      </c>
      <c r="CP49" s="77" t="str" cm="1">
        <f t="array" aca="1" ref="CP49" ca="1">IF($CK49&lt;&gt;"",
INDIRECT(""&amp;IF(COLUMN(CC49)&lt;=26,CHAR(COLUMN(CC49)+64),CHAR(INT((COLUMN(CC49)-1)/26)+64)&amp;CHAR(MOD(COLUMN(CC49)-1,26)+65))&amp;$CK49&amp;""),"")</f>
        <v/>
      </c>
      <c r="CQ49" s="77" t="str" cm="1">
        <f t="array" aca="1" ref="CQ49" ca="1">IF($CK49&lt;&gt;"",
INDIRECT(""&amp;IF(COLUMN(CD49)&lt;=26,CHAR(COLUMN(CD49)+64),CHAR(INT((COLUMN(CD49)-1)/26)+64)&amp;CHAR(MOD(COLUMN(CD49)-1,26)+65))&amp;$CK49&amp;""),"")</f>
        <v/>
      </c>
      <c r="CR49" s="77" t="str" cm="1">
        <f t="array" aca="1" ref="CR49" ca="1">IF($CK49&lt;&gt;"",
INDIRECT(""&amp;IF(COLUMN(CE49)&lt;=26,CHAR(COLUMN(CE49)+64),CHAR(INT((COLUMN(CE49)-1)/26)+64)&amp;CHAR(MOD(COLUMN(CE49)-1,26)+65))&amp;$CK49&amp;""),"")</f>
        <v/>
      </c>
      <c r="CS49" s="77" t="str" cm="1">
        <f t="array" aca="1" ref="CS49" ca="1">IF($CK49&lt;&gt;"",
INDIRECT(""&amp;IF(COLUMN(CF49)&lt;=26,CHAR(COLUMN(CF49)+64),CHAR(INT((COLUMN(CF49)-1)/26)+64)&amp;CHAR(MOD(COLUMN(CF49)-1,26)+65))&amp;$CK49&amp;""),"")</f>
        <v/>
      </c>
      <c r="CT49" s="77" t="str" cm="1">
        <f t="array" aca="1" ref="CT49" ca="1">IF($CK49&lt;&gt;"",
INDIRECT(""&amp;IF(COLUMN(CG49)&lt;=26,CHAR(COLUMN(CG49)+64),CHAR(INT((COLUMN(CG49)-1)/26)+64)&amp;CHAR(MOD(COLUMN(CG49)-1,26)+65))&amp;$CK49&amp;""),"")</f>
        <v/>
      </c>
      <c r="CU49" s="77" t="str" cm="1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77" customFormat="1" ht="18" customHeight="1" x14ac:dyDescent="0.55000000000000004">
      <c r="A50" s="53"/>
      <c r="B50" s="76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88" t="str">
        <f ca="1">IF(C53&lt;&gt;"",C8,"")</f>
        <v/>
      </c>
      <c r="D50" s="89"/>
      <c r="E50" s="89"/>
      <c r="F50" s="89"/>
      <c r="G50" s="106"/>
      <c r="H50" s="53"/>
      <c r="I50" s="76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88" t="str">
        <f ca="1">IF(J53&lt;&gt;"",J8,"")</f>
        <v/>
      </c>
      <c r="K50" s="89"/>
      <c r="L50" s="89"/>
      <c r="M50" s="89"/>
      <c r="N50" s="103"/>
      <c r="O50" s="53"/>
      <c r="P50" s="53"/>
      <c r="Q50" s="76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88" t="str">
        <f ca="1">IF(R53&lt;&gt;"",R8,"")</f>
        <v/>
      </c>
      <c r="S50" s="89"/>
      <c r="T50" s="89"/>
      <c r="U50" s="89"/>
      <c r="V50" s="106"/>
      <c r="W50" s="53"/>
      <c r="X50" s="76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88" t="str">
        <f ca="1">IF(Y53&lt;&gt;"",Y8,"")</f>
        <v/>
      </c>
      <c r="Z50" s="89"/>
      <c r="AA50" s="89"/>
      <c r="AB50" s="89"/>
      <c r="AC50" s="103"/>
      <c r="AD50" s="53"/>
      <c r="AE50" s="53"/>
      <c r="AF50" s="76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88" t="str">
        <f ca="1">IF(AG53&lt;&gt;"",AG8,"")</f>
        <v/>
      </c>
      <c r="AH50" s="89"/>
      <c r="AI50" s="89"/>
      <c r="AJ50" s="89"/>
      <c r="AK50" s="106"/>
      <c r="AL50" s="53"/>
      <c r="AM50" s="76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88" t="str">
        <f ca="1">IF(AN53&lt;&gt;"",AN8,"")</f>
        <v/>
      </c>
      <c r="AO50" s="89"/>
      <c r="AP50" s="89"/>
      <c r="AQ50" s="89"/>
      <c r="AR50" s="103"/>
      <c r="AS50" s="53"/>
      <c r="AT50" s="53"/>
      <c r="AU50" s="76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88" t="str">
        <f ca="1">IF(AV53&lt;&gt;"",AV8,"")</f>
        <v/>
      </c>
      <c r="AW50" s="89"/>
      <c r="AX50" s="89"/>
      <c r="AY50" s="89"/>
      <c r="AZ50" s="106"/>
      <c r="BA50" s="53"/>
      <c r="BB50" s="76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88" t="str">
        <f ca="1">IF(BC53&lt;&gt;"",BC8,"")</f>
        <v/>
      </c>
      <c r="BD50" s="89"/>
      <c r="BE50" s="89"/>
      <c r="BF50" s="89"/>
      <c r="BG50" s="103"/>
      <c r="BH50" s="53"/>
      <c r="BI50" s="53"/>
      <c r="BJ50" s="76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88" t="str">
        <f ca="1">IF(BK53&lt;&gt;"",BK8,"")</f>
        <v/>
      </c>
      <c r="BL50" s="89"/>
      <c r="BM50" s="89"/>
      <c r="BN50" s="89"/>
      <c r="BO50" s="106"/>
      <c r="BP50" s="53"/>
      <c r="BQ50" s="76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88" t="str">
        <f ca="1">IF(BR53&lt;&gt;"",BR8,"")</f>
        <v/>
      </c>
      <c r="BS50" s="89"/>
      <c r="BT50" s="89"/>
      <c r="BU50" s="89"/>
      <c r="BV50" s="103"/>
      <c r="BW50" s="53"/>
      <c r="BX50" s="77">
        <v>42</v>
      </c>
      <c r="BY50" s="77" t="str" cm="1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77" t="str" cm="1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77" t="str" cm="1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77" t="str" cm="1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77" t="str" cm="1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77" t="str" cm="1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77" t="str" cm="1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77" t="str" cm="1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77" t="str" cm="1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77" t="str" cm="1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77">
        <f t="shared" ca="1" si="0"/>
        <v>0</v>
      </c>
      <c r="CJ50" s="77" t="b" cm="1">
        <f t="array" aca="1" ref="CJ50" ca="1">SUMPRODUCT((LEN(BY50:CH50)&gt;0)*1)&gt;0</f>
        <v>0</v>
      </c>
      <c r="CK50" s="77" t="str">
        <f t="array" aca="1" ref="CK50" ca="1">IFERROR(SMALL(IF(CI$1:CI$100&lt;&gt;0,CI$1:CI$100),ROW(A50)),"")</f>
        <v/>
      </c>
      <c r="CL50" s="77" t="str" cm="1">
        <f t="array" aca="1" ref="CL50" ca="1">IF($CK50&lt;&gt;"",
INDIRECT(""&amp;IF(COLUMN(BY50)&lt;=26,CHAR(COLUMN(BY50)+64),CHAR(INT((COLUMN(BY50)-1)/26)+64)&amp;CHAR(MOD(COLUMN(BY50)-1,26)+65))&amp;$CK50&amp;""),"")</f>
        <v/>
      </c>
      <c r="CM50" s="77" t="str" cm="1">
        <f t="array" aca="1" ref="CM50" ca="1">IF($CK50&lt;&gt;"",
INDIRECT(""&amp;IF(COLUMN(BZ50)&lt;=26,CHAR(COLUMN(BZ50)+64),CHAR(INT((COLUMN(BZ50)-1)/26)+64)&amp;CHAR(MOD(COLUMN(BZ50)-1,26)+65))&amp;$CK50&amp;""),"")</f>
        <v/>
      </c>
      <c r="CN50" s="77" t="str" cm="1">
        <f t="array" aca="1" ref="CN50" ca="1">IF($CK50&lt;&gt;"",
INDIRECT(""&amp;IF(COLUMN(CA50)&lt;=26,CHAR(COLUMN(CA50)+64),CHAR(INT((COLUMN(CA50)-1)/26)+64)&amp;CHAR(MOD(COLUMN(CA50)-1,26)+65))&amp;$CK50&amp;""),"")</f>
        <v/>
      </c>
      <c r="CO50" s="77" t="str" cm="1">
        <f t="array" aca="1" ref="CO50" ca="1">IF($CK50&lt;&gt;"",
INDIRECT(""&amp;IF(COLUMN(CB50)&lt;=26,CHAR(COLUMN(CB50)+64),CHAR(INT((COLUMN(CB50)-1)/26)+64)&amp;CHAR(MOD(COLUMN(CB50)-1,26)+65))&amp;$CK50&amp;""),"")</f>
        <v/>
      </c>
      <c r="CP50" s="77" t="str" cm="1">
        <f t="array" aca="1" ref="CP50" ca="1">IF($CK50&lt;&gt;"",
INDIRECT(""&amp;IF(COLUMN(CC50)&lt;=26,CHAR(COLUMN(CC50)+64),CHAR(INT((COLUMN(CC50)-1)/26)+64)&amp;CHAR(MOD(COLUMN(CC50)-1,26)+65))&amp;$CK50&amp;""),"")</f>
        <v/>
      </c>
      <c r="CQ50" s="77" t="str" cm="1">
        <f t="array" aca="1" ref="CQ50" ca="1">IF($CK50&lt;&gt;"",
INDIRECT(""&amp;IF(COLUMN(CD50)&lt;=26,CHAR(COLUMN(CD50)+64),CHAR(INT((COLUMN(CD50)-1)/26)+64)&amp;CHAR(MOD(COLUMN(CD50)-1,26)+65))&amp;$CK50&amp;""),"")</f>
        <v/>
      </c>
      <c r="CR50" s="77" t="str" cm="1">
        <f t="array" aca="1" ref="CR50" ca="1">IF($CK50&lt;&gt;"",
INDIRECT(""&amp;IF(COLUMN(CE50)&lt;=26,CHAR(COLUMN(CE50)+64),CHAR(INT((COLUMN(CE50)-1)/26)+64)&amp;CHAR(MOD(COLUMN(CE50)-1,26)+65))&amp;$CK50&amp;""),"")</f>
        <v/>
      </c>
      <c r="CS50" s="77" t="str" cm="1">
        <f t="array" aca="1" ref="CS50" ca="1">IF($CK50&lt;&gt;"",
INDIRECT(""&amp;IF(COLUMN(CF50)&lt;=26,CHAR(COLUMN(CF50)+64),CHAR(INT((COLUMN(CF50)-1)/26)+64)&amp;CHAR(MOD(COLUMN(CF50)-1,26)+65))&amp;$CK50&amp;""),"")</f>
        <v/>
      </c>
      <c r="CT50" s="77" t="str" cm="1">
        <f t="array" aca="1" ref="CT50" ca="1">IF($CK50&lt;&gt;"",
INDIRECT(""&amp;IF(COLUMN(CG50)&lt;=26,CHAR(COLUMN(CG50)+64),CHAR(INT((COLUMN(CG50)-1)/26)+64)&amp;CHAR(MOD(COLUMN(CG50)-1,26)+65))&amp;$CK50&amp;""),"")</f>
        <v/>
      </c>
      <c r="CU50" s="77" t="str" cm="1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77" customFormat="1" ht="18" customHeight="1" x14ac:dyDescent="0.55000000000000004">
      <c r="A51" s="53"/>
      <c r="B51" s="7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9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53"/>
      <c r="E51" s="108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8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00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53"/>
      <c r="I51" s="7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9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53"/>
      <c r="L51" s="108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8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00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53"/>
      <c r="P51" s="53"/>
      <c r="Q51" s="7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9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53"/>
      <c r="T51" s="108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8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0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53"/>
      <c r="X51" s="7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9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53"/>
      <c r="AA51" s="108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8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00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53"/>
      <c r="AE51" s="53"/>
      <c r="AF51" s="7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9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53"/>
      <c r="AI51" s="108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8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0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53"/>
      <c r="AM51" s="7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9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53"/>
      <c r="AP51" s="108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8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00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53"/>
      <c r="AT51" s="53"/>
      <c r="AU51" s="7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9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53"/>
      <c r="AX51" s="108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8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0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53"/>
      <c r="BB51" s="7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9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53"/>
      <c r="BE51" s="108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8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00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53"/>
      <c r="BI51" s="53"/>
      <c r="BJ51" s="7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9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53"/>
      <c r="BM51" s="108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8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0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53"/>
      <c r="BQ51" s="7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9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53"/>
      <c r="BT51" s="108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8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00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53"/>
      <c r="BY51" s="115" t="str">
        <f ca="1">AN1</f>
        <v/>
      </c>
      <c r="BZ51" s="115" t="str">
        <f ca="1">AN2</f>
        <v/>
      </c>
      <c r="CA51" s="115" t="str">
        <f ca="1">AP2</f>
        <v/>
      </c>
      <c r="CB51" s="116" t="str">
        <f ca="1">AQ2</f>
        <v/>
      </c>
      <c r="CC51" s="115" t="str">
        <f ca="1">AN4</f>
        <v/>
      </c>
      <c r="CD51" s="115" t="str">
        <f ca="1">AP4</f>
        <v/>
      </c>
      <c r="CE51" s="115" t="str">
        <f ca="1">AN6</f>
        <v/>
      </c>
      <c r="CF51" s="115" t="str">
        <f ca="1">AM7</f>
        <v/>
      </c>
      <c r="CG51" s="115" t="str">
        <f ca="1">AO7</f>
        <v/>
      </c>
      <c r="CH51" s="115" t="str">
        <f ca="1">AQ7</f>
        <v/>
      </c>
      <c r="CI51" s="77">
        <f t="shared" ca="1" si="0"/>
        <v>0</v>
      </c>
      <c r="CJ51" s="77" t="b" cm="1">
        <f t="array" aca="1" ref="CJ51" ca="1">SUMPRODUCT((LEN(BY51:CH51)&gt;0)*1)&gt;0</f>
        <v>0</v>
      </c>
      <c r="CK51" s="77" t="str">
        <f t="array" aca="1" ref="CK51" ca="1">IFERROR(SMALL(IF(CI$1:CI$100&lt;&gt;0,CI$1:CI$100),ROW(A51)),"")</f>
        <v/>
      </c>
      <c r="CL51" s="77" t="str" cm="1">
        <f t="array" aca="1" ref="CL51" ca="1">IF($CK51&lt;&gt;"",
INDIRECT(""&amp;IF(COLUMN(BY51)&lt;=26,CHAR(COLUMN(BY51)+64),CHAR(INT((COLUMN(BY51)-1)/26)+64)&amp;CHAR(MOD(COLUMN(BY51)-1,26)+65))&amp;$CK51&amp;""),"")</f>
        <v/>
      </c>
      <c r="CM51" s="77" t="str" cm="1">
        <f t="array" aca="1" ref="CM51" ca="1">IF($CK51&lt;&gt;"",
INDIRECT(""&amp;IF(COLUMN(BZ51)&lt;=26,CHAR(COLUMN(BZ51)+64),CHAR(INT((COLUMN(BZ51)-1)/26)+64)&amp;CHAR(MOD(COLUMN(BZ51)-1,26)+65))&amp;$CK51&amp;""),"")</f>
        <v/>
      </c>
      <c r="CN51" s="77" t="str" cm="1">
        <f t="array" aca="1" ref="CN51" ca="1">IF($CK51&lt;&gt;"",
INDIRECT(""&amp;IF(COLUMN(CA51)&lt;=26,CHAR(COLUMN(CA51)+64),CHAR(INT((COLUMN(CA51)-1)/26)+64)&amp;CHAR(MOD(COLUMN(CA51)-1,26)+65))&amp;$CK51&amp;""),"")</f>
        <v/>
      </c>
      <c r="CO51" s="77" t="str" cm="1">
        <f t="array" aca="1" ref="CO51" ca="1">IF($CK51&lt;&gt;"",
INDIRECT(""&amp;IF(COLUMN(CB51)&lt;=26,CHAR(COLUMN(CB51)+64),CHAR(INT((COLUMN(CB51)-1)/26)+64)&amp;CHAR(MOD(COLUMN(CB51)-1,26)+65))&amp;$CK51&amp;""),"")</f>
        <v/>
      </c>
      <c r="CP51" s="77" t="str" cm="1">
        <f t="array" aca="1" ref="CP51" ca="1">IF($CK51&lt;&gt;"",
INDIRECT(""&amp;IF(COLUMN(CC51)&lt;=26,CHAR(COLUMN(CC51)+64),CHAR(INT((COLUMN(CC51)-1)/26)+64)&amp;CHAR(MOD(COLUMN(CC51)-1,26)+65))&amp;$CK51&amp;""),"")</f>
        <v/>
      </c>
      <c r="CQ51" s="77" t="str" cm="1">
        <f t="array" aca="1" ref="CQ51" ca="1">IF($CK51&lt;&gt;"",
INDIRECT(""&amp;IF(COLUMN(CD51)&lt;=26,CHAR(COLUMN(CD51)+64),CHAR(INT((COLUMN(CD51)-1)/26)+64)&amp;CHAR(MOD(COLUMN(CD51)-1,26)+65))&amp;$CK51&amp;""),"")</f>
        <v/>
      </c>
      <c r="CR51" s="77" t="str" cm="1">
        <f t="array" aca="1" ref="CR51" ca="1">IF($CK51&lt;&gt;"",
INDIRECT(""&amp;IF(COLUMN(CE51)&lt;=26,CHAR(COLUMN(CE51)+64),CHAR(INT((COLUMN(CE51)-1)/26)+64)&amp;CHAR(MOD(COLUMN(CE51)-1,26)+65))&amp;$CK51&amp;""),"")</f>
        <v/>
      </c>
      <c r="CS51" s="77" t="str" cm="1">
        <f t="array" aca="1" ref="CS51" ca="1">IF($CK51&lt;&gt;"",
INDIRECT(""&amp;IF(COLUMN(CF51)&lt;=26,CHAR(COLUMN(CF51)+64),CHAR(INT((COLUMN(CF51)-1)/26)+64)&amp;CHAR(MOD(COLUMN(CF51)-1,26)+65))&amp;$CK51&amp;""),"")</f>
        <v/>
      </c>
      <c r="CT51" s="77" t="str" cm="1">
        <f t="array" aca="1" ref="CT51" ca="1">IF($CK51&lt;&gt;"",
INDIRECT(""&amp;IF(COLUMN(CG51)&lt;=26,CHAR(COLUMN(CG51)+64),CHAR(INT((COLUMN(CG51)-1)/26)+64)&amp;CHAR(MOD(COLUMN(CG51)-1,26)+65))&amp;$CK51&amp;""),"")</f>
        <v/>
      </c>
      <c r="CU51" s="77" t="str" cm="1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77" customFormat="1" ht="22.2" x14ac:dyDescent="0.55000000000000004">
      <c r="A52" s="53"/>
      <c r="B52" s="85"/>
      <c r="C52" s="86" t="str">
        <f ca="1">IF(C53&lt;&gt;"","園児","")</f>
        <v/>
      </c>
      <c r="D52" s="87"/>
      <c r="E52" s="96" t="str">
        <f ca="1">IF(C53&lt;&gt;"","先生","")</f>
        <v/>
      </c>
      <c r="F52" s="87"/>
      <c r="G52" s="101"/>
      <c r="H52" s="53"/>
      <c r="I52" s="85"/>
      <c r="J52" s="86" t="str">
        <f ca="1">IF(J53&lt;&gt;"","園児","")</f>
        <v/>
      </c>
      <c r="K52" s="87"/>
      <c r="L52" s="96" t="str">
        <f ca="1">IF(J53&lt;&gt;"","先生","")</f>
        <v/>
      </c>
      <c r="M52" s="87"/>
      <c r="N52" s="101"/>
      <c r="O52" s="53"/>
      <c r="P52" s="53"/>
      <c r="Q52" s="85"/>
      <c r="R52" s="86" t="str">
        <f ca="1">IF(R53&lt;&gt;"","園児","")</f>
        <v/>
      </c>
      <c r="S52" s="87"/>
      <c r="T52" s="96" t="str">
        <f ca="1">IF(R53&lt;&gt;"","先生","")</f>
        <v/>
      </c>
      <c r="U52" s="87"/>
      <c r="V52" s="101"/>
      <c r="W52" s="53"/>
      <c r="X52" s="85"/>
      <c r="Y52" s="86" t="str">
        <f ca="1">IF(Y53&lt;&gt;"","園児","")</f>
        <v/>
      </c>
      <c r="Z52" s="87"/>
      <c r="AA52" s="96" t="str">
        <f ca="1">IF(Y53&lt;&gt;"","先生","")</f>
        <v/>
      </c>
      <c r="AB52" s="87"/>
      <c r="AC52" s="101"/>
      <c r="AD52" s="53"/>
      <c r="AE52" s="53"/>
      <c r="AF52" s="85"/>
      <c r="AG52" s="86" t="str">
        <f ca="1">IF(AG53&lt;&gt;"","園児","")</f>
        <v/>
      </c>
      <c r="AH52" s="87"/>
      <c r="AI52" s="96" t="str">
        <f ca="1">IF(AG53&lt;&gt;"","先生","")</f>
        <v/>
      </c>
      <c r="AJ52" s="87"/>
      <c r="AK52" s="101"/>
      <c r="AL52" s="53"/>
      <c r="AM52" s="85"/>
      <c r="AN52" s="86" t="str">
        <f ca="1">IF(AN53&lt;&gt;"","園児","")</f>
        <v/>
      </c>
      <c r="AO52" s="87"/>
      <c r="AP52" s="96" t="str">
        <f ca="1">IF(AN53&lt;&gt;"","先生","")</f>
        <v/>
      </c>
      <c r="AQ52" s="87"/>
      <c r="AR52" s="101"/>
      <c r="AS52" s="53"/>
      <c r="AT52" s="53"/>
      <c r="AU52" s="85"/>
      <c r="AV52" s="86" t="str">
        <f ca="1">IF(AV53&lt;&gt;"","園児","")</f>
        <v/>
      </c>
      <c r="AW52" s="87"/>
      <c r="AX52" s="96" t="str">
        <f ca="1">IF(AV53&lt;&gt;"","先生","")</f>
        <v/>
      </c>
      <c r="AY52" s="87"/>
      <c r="AZ52" s="101"/>
      <c r="BA52" s="53"/>
      <c r="BB52" s="85"/>
      <c r="BC52" s="86" t="str">
        <f ca="1">IF(BC53&lt;&gt;"","園児","")</f>
        <v/>
      </c>
      <c r="BD52" s="87"/>
      <c r="BE52" s="96" t="str">
        <f ca="1">IF(BC53&lt;&gt;"","先生","")</f>
        <v/>
      </c>
      <c r="BF52" s="87"/>
      <c r="BG52" s="101"/>
      <c r="BH52" s="53"/>
      <c r="BI52" s="53"/>
      <c r="BJ52" s="85"/>
      <c r="BK52" s="86" t="str">
        <f ca="1">IF(BK53&lt;&gt;"","園児","")</f>
        <v/>
      </c>
      <c r="BL52" s="87"/>
      <c r="BM52" s="96" t="str">
        <f ca="1">IF(BK53&lt;&gt;"","先生","")</f>
        <v/>
      </c>
      <c r="BN52" s="87"/>
      <c r="BO52" s="101"/>
      <c r="BP52" s="53"/>
      <c r="BQ52" s="85"/>
      <c r="BR52" s="86" t="str">
        <f ca="1">IF(BR53&lt;&gt;"","園児","")</f>
        <v/>
      </c>
      <c r="BS52" s="87"/>
      <c r="BT52" s="96" t="str">
        <f ca="1">IF(BR53&lt;&gt;"","先生","")</f>
        <v/>
      </c>
      <c r="BU52" s="87"/>
      <c r="BV52" s="101"/>
      <c r="BW52" s="53"/>
      <c r="BX52" s="77">
        <v>42</v>
      </c>
      <c r="BY52" s="77" t="str" cm="1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77" t="str" cm="1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77" t="str" cm="1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77" t="str" cm="1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77" t="str" cm="1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77" t="str" cm="1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77" t="str" cm="1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77" t="str" cm="1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77" t="str" cm="1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77" t="str" cm="1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77">
        <f t="shared" ca="1" si="0"/>
        <v>0</v>
      </c>
      <c r="CJ52" s="77" t="b" cm="1">
        <f t="array" aca="1" ref="CJ52" ca="1">SUMPRODUCT((LEN(BY52:CH52)&gt;0)*1)&gt;0</f>
        <v>0</v>
      </c>
      <c r="CK52" s="77" t="str">
        <f t="array" aca="1" ref="CK52" ca="1">IFERROR(SMALL(IF(CI$1:CI$100&lt;&gt;0,CI$1:CI$100),ROW(A52)),"")</f>
        <v/>
      </c>
      <c r="CL52" s="77" t="str" cm="1">
        <f t="array" aca="1" ref="CL52" ca="1">IF($CK52&lt;&gt;"",
INDIRECT(""&amp;IF(COLUMN(BY52)&lt;=26,CHAR(COLUMN(BY52)+64),CHAR(INT((COLUMN(BY52)-1)/26)+64)&amp;CHAR(MOD(COLUMN(BY52)-1,26)+65))&amp;$CK52&amp;""),"")</f>
        <v/>
      </c>
      <c r="CM52" s="77" t="str" cm="1">
        <f t="array" aca="1" ref="CM52" ca="1">IF($CK52&lt;&gt;"",
INDIRECT(""&amp;IF(COLUMN(BZ52)&lt;=26,CHAR(COLUMN(BZ52)+64),CHAR(INT((COLUMN(BZ52)-1)/26)+64)&amp;CHAR(MOD(COLUMN(BZ52)-1,26)+65))&amp;$CK52&amp;""),"")</f>
        <v/>
      </c>
      <c r="CN52" s="77" t="str" cm="1">
        <f t="array" aca="1" ref="CN52" ca="1">IF($CK52&lt;&gt;"",
INDIRECT(""&amp;IF(COLUMN(CA52)&lt;=26,CHAR(COLUMN(CA52)+64),CHAR(INT((COLUMN(CA52)-1)/26)+64)&amp;CHAR(MOD(COLUMN(CA52)-1,26)+65))&amp;$CK52&amp;""),"")</f>
        <v/>
      </c>
      <c r="CO52" s="77" t="str" cm="1">
        <f t="array" aca="1" ref="CO52" ca="1">IF($CK52&lt;&gt;"",
INDIRECT(""&amp;IF(COLUMN(CB52)&lt;=26,CHAR(COLUMN(CB52)+64),CHAR(INT((COLUMN(CB52)-1)/26)+64)&amp;CHAR(MOD(COLUMN(CB52)-1,26)+65))&amp;$CK52&amp;""),"")</f>
        <v/>
      </c>
      <c r="CP52" s="77" t="str" cm="1">
        <f t="array" aca="1" ref="CP52" ca="1">IF($CK52&lt;&gt;"",
INDIRECT(""&amp;IF(COLUMN(CC52)&lt;=26,CHAR(COLUMN(CC52)+64),CHAR(INT((COLUMN(CC52)-1)/26)+64)&amp;CHAR(MOD(COLUMN(CC52)-1,26)+65))&amp;$CK52&amp;""),"")</f>
        <v/>
      </c>
      <c r="CQ52" s="77" t="str" cm="1">
        <f t="array" aca="1" ref="CQ52" ca="1">IF($CK52&lt;&gt;"",
INDIRECT(""&amp;IF(COLUMN(CD52)&lt;=26,CHAR(COLUMN(CD52)+64),CHAR(INT((COLUMN(CD52)-1)/26)+64)&amp;CHAR(MOD(COLUMN(CD52)-1,26)+65))&amp;$CK52&amp;""),"")</f>
        <v/>
      </c>
      <c r="CR52" s="77" t="str" cm="1">
        <f t="array" aca="1" ref="CR52" ca="1">IF($CK52&lt;&gt;"",
INDIRECT(""&amp;IF(COLUMN(CE52)&lt;=26,CHAR(COLUMN(CE52)+64),CHAR(INT((COLUMN(CE52)-1)/26)+64)&amp;CHAR(MOD(COLUMN(CE52)-1,26)+65))&amp;$CK52&amp;""),"")</f>
        <v/>
      </c>
      <c r="CS52" s="77" t="str" cm="1">
        <f t="array" aca="1" ref="CS52" ca="1">IF($CK52&lt;&gt;"",
INDIRECT(""&amp;IF(COLUMN(CF52)&lt;=26,CHAR(COLUMN(CF52)+64),CHAR(INT((COLUMN(CF52)-1)/26)+64)&amp;CHAR(MOD(COLUMN(CF52)-1,26)+65))&amp;$CK52&amp;""),"")</f>
        <v/>
      </c>
      <c r="CT52" s="77" t="str" cm="1">
        <f t="array" aca="1" ref="CT52" ca="1">IF($CK52&lt;&gt;"",
INDIRECT(""&amp;IF(COLUMN(CG52)&lt;=26,CHAR(COLUMN(CG52)+64),CHAR(INT((COLUMN(CG52)-1)/26)+64)&amp;CHAR(MOD(COLUMN(CG52)-1,26)+65))&amp;$CK52&amp;""),"")</f>
        <v/>
      </c>
      <c r="CU52" s="77" t="str" cm="1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1"/>
      <c r="C53" s="9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91"/>
      <c r="E53" s="9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91"/>
      <c r="G53" s="101"/>
      <c r="I53" s="11"/>
      <c r="J53" s="9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91"/>
      <c r="L53" s="9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91"/>
      <c r="N53" s="101"/>
      <c r="Q53" s="11"/>
      <c r="R53" s="9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91"/>
      <c r="T53" s="9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91"/>
      <c r="V53" s="101"/>
      <c r="X53" s="11"/>
      <c r="Y53" s="9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91"/>
      <c r="AA53" s="9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91"/>
      <c r="AC53" s="101"/>
      <c r="AF53" s="11"/>
      <c r="AG53" s="9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91"/>
      <c r="AI53" s="9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91"/>
      <c r="AK53" s="101"/>
      <c r="AM53" s="11"/>
      <c r="AN53" s="9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91"/>
      <c r="AP53" s="9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91"/>
      <c r="AR53" s="101"/>
      <c r="AU53" s="11"/>
      <c r="AV53" s="9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91"/>
      <c r="AX53" s="9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91"/>
      <c r="AZ53" s="101"/>
      <c r="BB53" s="11"/>
      <c r="BC53" s="9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91"/>
      <c r="BE53" s="9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91"/>
      <c r="BG53" s="101"/>
      <c r="BJ53" s="11"/>
      <c r="BK53" s="9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91"/>
      <c r="BM53" s="9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91"/>
      <c r="BO53" s="101"/>
      <c r="BQ53" s="11"/>
      <c r="BR53" s="9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91"/>
      <c r="BT53" s="9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91"/>
      <c r="BV53" s="101"/>
      <c r="BX53">
        <v>7</v>
      </c>
      <c r="BY53" s="77" t="str" cm="1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77" t="str" cm="1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77" t="str" cm="1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77" t="str" cm="1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77" t="str" cm="1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77" t="str" cm="1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77" t="str" cm="1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77" t="str" cm="1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77" t="str" cm="1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77" t="str" cm="1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77">
        <f t="shared" ca="1" si="0"/>
        <v>0</v>
      </c>
      <c r="CJ53" s="77" t="b" cm="1">
        <f t="array" aca="1" ref="CJ53" ca="1">SUMPRODUCT((LEN(BY53:CH53)&gt;0)*1)&gt;0</f>
        <v>0</v>
      </c>
      <c r="CK53" s="77" t="str">
        <f t="array" aca="1" ref="CK53" ca="1">IFERROR(SMALL(IF(CI$1:CI$100&lt;&gt;0,CI$1:CI$100),ROW(A53)),"")</f>
        <v/>
      </c>
      <c r="CL53" s="77" t="str" cm="1">
        <f t="array" aca="1" ref="CL53" ca="1">IF($CK53&lt;&gt;"",
INDIRECT(""&amp;IF(COLUMN(BY53)&lt;=26,CHAR(COLUMN(BY53)+64),CHAR(INT((COLUMN(BY53)-1)/26)+64)&amp;CHAR(MOD(COLUMN(BY53)-1,26)+65))&amp;$CK53&amp;""),"")</f>
        <v/>
      </c>
      <c r="CM53" s="77" t="str" cm="1">
        <f t="array" aca="1" ref="CM53" ca="1">IF($CK53&lt;&gt;"",
INDIRECT(""&amp;IF(COLUMN(BZ53)&lt;=26,CHAR(COLUMN(BZ53)+64),CHAR(INT((COLUMN(BZ53)-1)/26)+64)&amp;CHAR(MOD(COLUMN(BZ53)-1,26)+65))&amp;$CK53&amp;""),"")</f>
        <v/>
      </c>
      <c r="CN53" s="77" t="str" cm="1">
        <f t="array" aca="1" ref="CN53" ca="1">IF($CK53&lt;&gt;"",
INDIRECT(""&amp;IF(COLUMN(CA53)&lt;=26,CHAR(COLUMN(CA53)+64),CHAR(INT((COLUMN(CA53)-1)/26)+64)&amp;CHAR(MOD(COLUMN(CA53)-1,26)+65))&amp;$CK53&amp;""),"")</f>
        <v/>
      </c>
      <c r="CO53" s="77" t="str" cm="1">
        <f t="array" aca="1" ref="CO53" ca="1">IF($CK53&lt;&gt;"",
INDIRECT(""&amp;IF(COLUMN(CB53)&lt;=26,CHAR(COLUMN(CB53)+64),CHAR(INT((COLUMN(CB53)-1)/26)+64)&amp;CHAR(MOD(COLUMN(CB53)-1,26)+65))&amp;$CK53&amp;""),"")</f>
        <v/>
      </c>
      <c r="CP53" s="77" t="str" cm="1">
        <f t="array" aca="1" ref="CP53" ca="1">IF($CK53&lt;&gt;"",
INDIRECT(""&amp;IF(COLUMN(CC53)&lt;=26,CHAR(COLUMN(CC53)+64),CHAR(INT((COLUMN(CC53)-1)/26)+64)&amp;CHAR(MOD(COLUMN(CC53)-1,26)+65))&amp;$CK53&amp;""),"")</f>
        <v/>
      </c>
      <c r="CQ53" s="77" t="str" cm="1">
        <f t="array" aca="1" ref="CQ53" ca="1">IF($CK53&lt;&gt;"",
INDIRECT(""&amp;IF(COLUMN(CD53)&lt;=26,CHAR(COLUMN(CD53)+64),CHAR(INT((COLUMN(CD53)-1)/26)+64)&amp;CHAR(MOD(COLUMN(CD53)-1,26)+65))&amp;$CK53&amp;""),"")</f>
        <v/>
      </c>
      <c r="CR53" s="77" t="str" cm="1">
        <f t="array" aca="1" ref="CR53" ca="1">IF($CK53&lt;&gt;"",
INDIRECT(""&amp;IF(COLUMN(CE53)&lt;=26,CHAR(COLUMN(CE53)+64),CHAR(INT((COLUMN(CE53)-1)/26)+64)&amp;CHAR(MOD(COLUMN(CE53)-1,26)+65))&amp;$CK53&amp;""),"")</f>
        <v/>
      </c>
      <c r="CS53" s="77" t="str" cm="1">
        <f t="array" aca="1" ref="CS53" ca="1">IF($CK53&lt;&gt;"",
INDIRECT(""&amp;IF(COLUMN(CF53)&lt;=26,CHAR(COLUMN(CF53)+64),CHAR(INT((COLUMN(CF53)-1)/26)+64)&amp;CHAR(MOD(COLUMN(CF53)-1,26)+65))&amp;$CK53&amp;""),"")</f>
        <v/>
      </c>
      <c r="CT53" s="77" t="str" cm="1">
        <f t="array" aca="1" ref="CT53" ca="1">IF($CK53&lt;&gt;"",
INDIRECT(""&amp;IF(COLUMN(CG53)&lt;=26,CHAR(COLUMN(CG53)+64),CHAR(INT((COLUMN(CG53)-1)/26)+64)&amp;CHAR(MOD(COLUMN(CG53)-1,26)+65))&amp;$CK53&amp;""),"")</f>
        <v/>
      </c>
      <c r="CU53" s="77" t="str" cm="1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8"/>
      <c r="C54" s="92"/>
      <c r="D54" s="92"/>
      <c r="E54" s="92"/>
      <c r="F54" s="92"/>
      <c r="G54" s="102"/>
      <c r="I54" s="8"/>
      <c r="J54" s="92"/>
      <c r="K54" s="92"/>
      <c r="L54" s="92"/>
      <c r="M54" s="92"/>
      <c r="N54" s="102"/>
      <c r="Q54" s="8"/>
      <c r="R54" s="92"/>
      <c r="S54" s="92"/>
      <c r="T54" s="92"/>
      <c r="U54" s="92"/>
      <c r="V54" s="102"/>
      <c r="X54" s="8"/>
      <c r="Y54" s="92"/>
      <c r="Z54" s="92"/>
      <c r="AA54" s="92"/>
      <c r="AB54" s="92"/>
      <c r="AC54" s="102"/>
      <c r="AF54" s="8"/>
      <c r="AG54" s="92"/>
      <c r="AH54" s="92"/>
      <c r="AI54" s="92"/>
      <c r="AJ54" s="92"/>
      <c r="AK54" s="102"/>
      <c r="AM54" s="8"/>
      <c r="AN54" s="92"/>
      <c r="AO54" s="92"/>
      <c r="AP54" s="92"/>
      <c r="AQ54" s="92"/>
      <c r="AR54" s="102"/>
      <c r="AU54" s="8"/>
      <c r="AV54" s="92"/>
      <c r="AW54" s="92"/>
      <c r="AX54" s="92"/>
      <c r="AY54" s="92"/>
      <c r="AZ54" s="102"/>
      <c r="BB54" s="8"/>
      <c r="BC54" s="92"/>
      <c r="BD54" s="92"/>
      <c r="BE54" s="92"/>
      <c r="BF54" s="92"/>
      <c r="BG54" s="102"/>
      <c r="BJ54" s="8"/>
      <c r="BK54" s="92"/>
      <c r="BL54" s="92"/>
      <c r="BM54" s="92"/>
      <c r="BN54" s="92"/>
      <c r="BO54" s="102"/>
      <c r="BQ54" s="8"/>
      <c r="BR54" s="92"/>
      <c r="BS54" s="92"/>
      <c r="BT54" s="92"/>
      <c r="BU54" s="92"/>
      <c r="BV54" s="102"/>
      <c r="BX54" s="77">
        <f>BX50+7</f>
        <v>49</v>
      </c>
      <c r="BY54" s="77" t="str" cm="1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77" t="str" cm="1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77" t="str" cm="1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77" t="str" cm="1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77" t="str" cm="1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77" t="str" cm="1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77" t="str" cm="1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77" t="str" cm="1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77" t="str" cm="1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77" t="str" cm="1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77">
        <f t="shared" ca="1" si="0"/>
        <v>0</v>
      </c>
      <c r="CJ54" s="77" t="b" cm="1">
        <f t="array" aca="1" ref="CJ54" ca="1">SUMPRODUCT((LEN(BY54:CH54)&gt;0)*1)&gt;0</f>
        <v>0</v>
      </c>
      <c r="CK54" s="77" t="str">
        <f t="array" aca="1" ref="CK54" ca="1">IFERROR(SMALL(IF(CI$1:CI$100&lt;&gt;0,CI$1:CI$100),ROW(A54)),"")</f>
        <v/>
      </c>
      <c r="CL54" s="77" t="str" cm="1">
        <f t="array" aca="1" ref="CL54" ca="1">IF($CK54&lt;&gt;"",
INDIRECT(""&amp;IF(COLUMN(BY54)&lt;=26,CHAR(COLUMN(BY54)+64),CHAR(INT((COLUMN(BY54)-1)/26)+64)&amp;CHAR(MOD(COLUMN(BY54)-1,26)+65))&amp;$CK54&amp;""),"")</f>
        <v/>
      </c>
      <c r="CM54" s="77" t="str" cm="1">
        <f t="array" aca="1" ref="CM54" ca="1">IF($CK54&lt;&gt;"",
INDIRECT(""&amp;IF(COLUMN(BZ54)&lt;=26,CHAR(COLUMN(BZ54)+64),CHAR(INT((COLUMN(BZ54)-1)/26)+64)&amp;CHAR(MOD(COLUMN(BZ54)-1,26)+65))&amp;$CK54&amp;""),"")</f>
        <v/>
      </c>
      <c r="CN54" s="77" t="str" cm="1">
        <f t="array" aca="1" ref="CN54" ca="1">IF($CK54&lt;&gt;"",
INDIRECT(""&amp;IF(COLUMN(CA54)&lt;=26,CHAR(COLUMN(CA54)+64),CHAR(INT((COLUMN(CA54)-1)/26)+64)&amp;CHAR(MOD(COLUMN(CA54)-1,26)+65))&amp;$CK54&amp;""),"")</f>
        <v/>
      </c>
      <c r="CO54" s="77" t="str" cm="1">
        <f t="array" aca="1" ref="CO54" ca="1">IF($CK54&lt;&gt;"",
INDIRECT(""&amp;IF(COLUMN(CB54)&lt;=26,CHAR(COLUMN(CB54)+64),CHAR(INT((COLUMN(CB54)-1)/26)+64)&amp;CHAR(MOD(COLUMN(CB54)-1,26)+65))&amp;$CK54&amp;""),"")</f>
        <v/>
      </c>
      <c r="CP54" s="77" t="str" cm="1">
        <f t="array" aca="1" ref="CP54" ca="1">IF($CK54&lt;&gt;"",
INDIRECT(""&amp;IF(COLUMN(CC54)&lt;=26,CHAR(COLUMN(CC54)+64),CHAR(INT((COLUMN(CC54)-1)/26)+64)&amp;CHAR(MOD(COLUMN(CC54)-1,26)+65))&amp;$CK54&amp;""),"")</f>
        <v/>
      </c>
      <c r="CQ54" s="77" t="str" cm="1">
        <f t="array" aca="1" ref="CQ54" ca="1">IF($CK54&lt;&gt;"",
INDIRECT(""&amp;IF(COLUMN(CD54)&lt;=26,CHAR(COLUMN(CD54)+64),CHAR(INT((COLUMN(CD54)-1)/26)+64)&amp;CHAR(MOD(COLUMN(CD54)-1,26)+65))&amp;$CK54&amp;""),"")</f>
        <v/>
      </c>
      <c r="CR54" s="77" t="str" cm="1">
        <f t="array" aca="1" ref="CR54" ca="1">IF($CK54&lt;&gt;"",
INDIRECT(""&amp;IF(COLUMN(CE54)&lt;=26,CHAR(COLUMN(CE54)+64),CHAR(INT((COLUMN(CE54)-1)/26)+64)&amp;CHAR(MOD(COLUMN(CE54)-1,26)+65))&amp;$CK54&amp;""),"")</f>
        <v/>
      </c>
      <c r="CS54" s="77" t="str" cm="1">
        <f t="array" aca="1" ref="CS54" ca="1">IF($CK54&lt;&gt;"",
INDIRECT(""&amp;IF(COLUMN(CF54)&lt;=26,CHAR(COLUMN(CF54)+64),CHAR(INT((COLUMN(CF54)-1)/26)+64)&amp;CHAR(MOD(COLUMN(CF54)-1,26)+65))&amp;$CK54&amp;""),"")</f>
        <v/>
      </c>
      <c r="CT54" s="77" t="str" cm="1">
        <f t="array" aca="1" ref="CT54" ca="1">IF($CK54&lt;&gt;"",
INDIRECT(""&amp;IF(COLUMN(CG54)&lt;=26,CHAR(COLUMN(CG54)+64),CHAR(INT((COLUMN(CG54)-1)/26)+64)&amp;CHAR(MOD(COLUMN(CG54)-1,26)+65))&amp;$CK54&amp;""),"")</f>
        <v/>
      </c>
      <c r="CU54" s="77" t="str" cm="1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77" customFormat="1" ht="22.2" x14ac:dyDescent="0.55000000000000004">
      <c r="A55" s="53"/>
      <c r="B55" s="84" t="str">
        <f ca="1">IF(C53&lt;&gt;"","パン箱","")</f>
        <v/>
      </c>
      <c r="C55" s="82" t="str">
        <f ca="1">IF(C53&lt;&gt;"",IF(OR(COUNTIF('盛付札（関数）'!C51,"*キャラ*"),COUNTIF('盛付札（関数）'!C51,"*赤*")),24,
VLOOKUP('盛付札（関数）'!C51,商品マスタ一覧!$D:$I,6,FALSE)),"")</f>
        <v/>
      </c>
      <c r="D55" s="84" t="str">
        <f ca="1">IF(C53&lt;&gt;"","　端数","")</f>
        <v/>
      </c>
      <c r="E55" s="82"/>
      <c r="F55" s="84" t="str">
        <f ca="1">IF(C53&lt;&gt;"","アレルギー","")</f>
        <v/>
      </c>
      <c r="G55" s="101"/>
      <c r="H55" s="53"/>
      <c r="I55" s="84" t="str">
        <f ca="1">IF(J53&lt;&gt;"","パン箱","")</f>
        <v/>
      </c>
      <c r="J55" s="82" t="str">
        <f ca="1">IF(J53&lt;&gt;"",IF(OR(COUNTIF('盛付札（関数）'!J51,"*キャラ*"),COUNTIF('盛付札（関数）'!J51,"*赤*")),24,
VLOOKUP('盛付札（関数）'!J51,商品マスタ一覧!$D:$I,6,FALSE)),"")</f>
        <v/>
      </c>
      <c r="K55" s="84" t="str">
        <f ca="1">IF(J53&lt;&gt;"","　端数","")</f>
        <v/>
      </c>
      <c r="L55" s="82"/>
      <c r="M55" s="84" t="str">
        <f ca="1">IF(J53&lt;&gt;"","アレルギー","")</f>
        <v/>
      </c>
      <c r="N55" s="101"/>
      <c r="O55" s="53"/>
      <c r="P55" s="53"/>
      <c r="Q55" s="84" t="str">
        <f ca="1">IF(R53&lt;&gt;"","パン箱","")</f>
        <v/>
      </c>
      <c r="R55" s="82" t="str">
        <f ca="1">IF(R53&lt;&gt;"",IF(OR(COUNTIF('盛付札（関数）'!R51,"*キャラ*"),COUNTIF('盛付札（関数）'!R51,"*赤*")),24,
VLOOKUP('盛付札（関数）'!R51,商品マスタ一覧!$D:$I,6,FALSE)),"")</f>
        <v/>
      </c>
      <c r="S55" s="84" t="str">
        <f ca="1">IF(R53&lt;&gt;"","　端数","")</f>
        <v/>
      </c>
      <c r="T55" s="82"/>
      <c r="U55" s="84" t="str">
        <f ca="1">IF(R53&lt;&gt;"","アレルギー","")</f>
        <v/>
      </c>
      <c r="V55" s="101"/>
      <c r="W55" s="53"/>
      <c r="X55" s="84" t="str">
        <f ca="1">IF(Y53&lt;&gt;"","パン箱","")</f>
        <v/>
      </c>
      <c r="Y55" s="82" t="str">
        <f ca="1">IF(Y53&lt;&gt;"",IF(OR(COUNTIF('盛付札（関数）'!Y51,"*キャラ*"),COUNTIF('盛付札（関数）'!Y51,"*赤*")),24,
VLOOKUP('盛付札（関数）'!Y51,商品マスタ一覧!$D:$I,6,FALSE)),"")</f>
        <v/>
      </c>
      <c r="Z55" s="84" t="str">
        <f ca="1">IF(Y53&lt;&gt;"","　端数","")</f>
        <v/>
      </c>
      <c r="AA55" s="82"/>
      <c r="AB55" s="84" t="str">
        <f ca="1">IF(Y53&lt;&gt;"","アレルギー","")</f>
        <v/>
      </c>
      <c r="AC55" s="101"/>
      <c r="AD55" s="53"/>
      <c r="AE55" s="53"/>
      <c r="AF55" s="84" t="str">
        <f ca="1">IF(AG53&lt;&gt;"","パン箱","")</f>
        <v/>
      </c>
      <c r="AG55" s="82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84" t="str">
        <f ca="1">IF(AG53&lt;&gt;"","　端数","")</f>
        <v/>
      </c>
      <c r="AI55" s="82"/>
      <c r="AJ55" s="84" t="str">
        <f ca="1">IF(AG53&lt;&gt;"","アレルギー","")</f>
        <v/>
      </c>
      <c r="AK55" s="101"/>
      <c r="AL55" s="53"/>
      <c r="AM55" s="84" t="str">
        <f ca="1">IF(AN53&lt;&gt;"","パン箱","")</f>
        <v/>
      </c>
      <c r="AN55" s="82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84" t="str">
        <f ca="1">IF(AN53&lt;&gt;"","　端数","")</f>
        <v/>
      </c>
      <c r="AP55" s="82"/>
      <c r="AQ55" s="84" t="str">
        <f ca="1">IF(AN53&lt;&gt;"","アレルギー","")</f>
        <v/>
      </c>
      <c r="AR55" s="101"/>
      <c r="AS55" s="53"/>
      <c r="AT55" s="53"/>
      <c r="AU55" s="84" t="str">
        <f ca="1">IF(AV53&lt;&gt;"","パン箱","")</f>
        <v/>
      </c>
      <c r="AV55" s="82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84" t="str">
        <f ca="1">IF(AV53&lt;&gt;"","　端数","")</f>
        <v/>
      </c>
      <c r="AX55" s="82"/>
      <c r="AY55" s="84" t="str">
        <f ca="1">IF(AV53&lt;&gt;"","アレルギー","")</f>
        <v/>
      </c>
      <c r="AZ55" s="101"/>
      <c r="BA55" s="53"/>
      <c r="BB55" s="84" t="str">
        <f ca="1">IF(BC53&lt;&gt;"","パン箱","")</f>
        <v/>
      </c>
      <c r="BC55" s="82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84" t="str">
        <f ca="1">IF(BC53&lt;&gt;"","　端数","")</f>
        <v/>
      </c>
      <c r="BE55" s="82"/>
      <c r="BF55" s="84" t="str">
        <f ca="1">IF(BC53&lt;&gt;"","アレルギー","")</f>
        <v/>
      </c>
      <c r="BG55" s="101"/>
      <c r="BH55" s="53"/>
      <c r="BI55" s="53"/>
      <c r="BJ55" s="84" t="str">
        <f ca="1">IF(BK53&lt;&gt;"","パン箱","")</f>
        <v/>
      </c>
      <c r="BK55" s="82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84" t="str">
        <f ca="1">IF(BK53&lt;&gt;"","　端数","")</f>
        <v/>
      </c>
      <c r="BM55" s="82"/>
      <c r="BN55" s="84" t="str">
        <f ca="1">IF(BK53&lt;&gt;"","アレルギー","")</f>
        <v/>
      </c>
      <c r="BO55" s="101"/>
      <c r="BP55" s="53"/>
      <c r="BQ55" s="84" t="str">
        <f ca="1">IF(BR53&lt;&gt;"","パン箱","")</f>
        <v/>
      </c>
      <c r="BR55" s="82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84" t="str">
        <f ca="1">IF(BR53&lt;&gt;"","　端数","")</f>
        <v/>
      </c>
      <c r="BT55" s="82"/>
      <c r="BU55" s="84" t="str">
        <f ca="1">IF(BR53&lt;&gt;"","アレルギー","")</f>
        <v/>
      </c>
      <c r="BV55" s="101"/>
      <c r="BW55" s="53"/>
      <c r="BX55" s="77">
        <v>7</v>
      </c>
      <c r="BY55" s="77" t="str" cm="1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77" t="str" cm="1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77" t="str" cm="1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77" t="str" cm="1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77" t="str" cm="1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77" t="str" cm="1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77" t="str" cm="1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77" t="str" cm="1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77" t="str" cm="1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77" t="str" cm="1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77">
        <f t="shared" ca="1" si="0"/>
        <v>0</v>
      </c>
      <c r="CJ55" s="77" t="b" cm="1">
        <f t="array" aca="1" ref="CJ55" ca="1">SUMPRODUCT((LEN(BY55:CH55)&gt;0)*1)&gt;0</f>
        <v>0</v>
      </c>
      <c r="CK55" s="77" t="str">
        <f t="array" aca="1" ref="CK55" ca="1">IFERROR(SMALL(IF(CI$1:CI$100&lt;&gt;0,CI$1:CI$100),ROW(A55)),"")</f>
        <v/>
      </c>
      <c r="CL55" s="77" t="str" cm="1">
        <f t="array" aca="1" ref="CL55" ca="1">IF($CK55&lt;&gt;"",
INDIRECT(""&amp;IF(COLUMN(BY55)&lt;=26,CHAR(COLUMN(BY55)+64),CHAR(INT((COLUMN(BY55)-1)/26)+64)&amp;CHAR(MOD(COLUMN(BY55)-1,26)+65))&amp;$CK55&amp;""),"")</f>
        <v/>
      </c>
      <c r="CM55" s="77" t="str" cm="1">
        <f t="array" aca="1" ref="CM55" ca="1">IF($CK55&lt;&gt;"",
INDIRECT(""&amp;IF(COLUMN(BZ55)&lt;=26,CHAR(COLUMN(BZ55)+64),CHAR(INT((COLUMN(BZ55)-1)/26)+64)&amp;CHAR(MOD(COLUMN(BZ55)-1,26)+65))&amp;$CK55&amp;""),"")</f>
        <v/>
      </c>
      <c r="CN55" s="77" t="str" cm="1">
        <f t="array" aca="1" ref="CN55" ca="1">IF($CK55&lt;&gt;"",
INDIRECT(""&amp;IF(COLUMN(CA55)&lt;=26,CHAR(COLUMN(CA55)+64),CHAR(INT((COLUMN(CA55)-1)/26)+64)&amp;CHAR(MOD(COLUMN(CA55)-1,26)+65))&amp;$CK55&amp;""),"")</f>
        <v/>
      </c>
      <c r="CO55" s="77" t="str" cm="1">
        <f t="array" aca="1" ref="CO55" ca="1">IF($CK55&lt;&gt;"",
INDIRECT(""&amp;IF(COLUMN(CB55)&lt;=26,CHAR(COLUMN(CB55)+64),CHAR(INT((COLUMN(CB55)-1)/26)+64)&amp;CHAR(MOD(COLUMN(CB55)-1,26)+65))&amp;$CK55&amp;""),"")</f>
        <v/>
      </c>
      <c r="CP55" s="77" t="str" cm="1">
        <f t="array" aca="1" ref="CP55" ca="1">IF($CK55&lt;&gt;"",
INDIRECT(""&amp;IF(COLUMN(CC55)&lt;=26,CHAR(COLUMN(CC55)+64),CHAR(INT((COLUMN(CC55)-1)/26)+64)&amp;CHAR(MOD(COLUMN(CC55)-1,26)+65))&amp;$CK55&amp;""),"")</f>
        <v/>
      </c>
      <c r="CQ55" s="77" t="str" cm="1">
        <f t="array" aca="1" ref="CQ55" ca="1">IF($CK55&lt;&gt;"",
INDIRECT(""&amp;IF(COLUMN(CD55)&lt;=26,CHAR(COLUMN(CD55)+64),CHAR(INT((COLUMN(CD55)-1)/26)+64)&amp;CHAR(MOD(COLUMN(CD55)-1,26)+65))&amp;$CK55&amp;""),"")</f>
        <v/>
      </c>
      <c r="CR55" s="77" t="str" cm="1">
        <f t="array" aca="1" ref="CR55" ca="1">IF($CK55&lt;&gt;"",
INDIRECT(""&amp;IF(COLUMN(CE55)&lt;=26,CHAR(COLUMN(CE55)+64),CHAR(INT((COLUMN(CE55)-1)/26)+64)&amp;CHAR(MOD(COLUMN(CE55)-1,26)+65))&amp;$CK55&amp;""),"")</f>
        <v/>
      </c>
      <c r="CS55" s="77" t="str" cm="1">
        <f t="array" aca="1" ref="CS55" ca="1">IF($CK55&lt;&gt;"",
INDIRECT(""&amp;IF(COLUMN(CF55)&lt;=26,CHAR(COLUMN(CF55)+64),CHAR(INT((COLUMN(CF55)-1)/26)+64)&amp;CHAR(MOD(COLUMN(CF55)-1,26)+65))&amp;$CK55&amp;""),"")</f>
        <v/>
      </c>
      <c r="CT55" s="77" t="str" cm="1">
        <f t="array" aca="1" ref="CT55" ca="1">IF($CK55&lt;&gt;"",
INDIRECT(""&amp;IF(COLUMN(CG55)&lt;=26,CHAR(COLUMN(CG55)+64),CHAR(INT((COLUMN(CG55)-1)/26)+64)&amp;CHAR(MOD(COLUMN(CG55)-1,26)+65))&amp;$CK55&amp;""),"")</f>
        <v/>
      </c>
      <c r="CU55" s="77" t="str" cm="1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97" t="str">
        <f ca="1">IF(C53&lt;&gt;"",
IFERROR(INT(C53/C55),""),"")</f>
        <v/>
      </c>
      <c r="C56" s="95"/>
      <c r="D56" s="97" t="str">
        <f ca="1">IFERROR(MOD(C53,C55),"")</f>
        <v/>
      </c>
      <c r="E56" s="95"/>
      <c r="F56" s="98" t="str" cm="1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MATCH(C53,INDIRECT("'数出表_Excel（アレルギー入力）'!"&amp;B8-1&amp;":"&amp;B8-1&amp;""),0)-1),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MATCH(C53,INDIRECT("'数出表_Excel（アレルギー入力）'!"&amp;B8-1&amp;":"&amp;B8-1&amp;""),0)-1),
 "")="",0,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MATCH(C53,INDIRECT("'数出表_Excel（アレルギー入力）'!"&amp;B8-1&amp;":"&amp;B8-1&amp;""),0)-1),
 "")),0),"")</f>
        <v/>
      </c>
      <c r="G56" s="99"/>
      <c r="I56" s="97" t="str">
        <f ca="1">IF(J53&lt;&gt;"",
IFERROR(INT(J53/J55),""),"")</f>
        <v/>
      </c>
      <c r="J56" s="95"/>
      <c r="K56" s="97" t="str">
        <f ca="1">IFERROR(MOD(J53,J55),"")</f>
        <v/>
      </c>
      <c r="L56" s="95"/>
      <c r="M56" s="98" t="str" cm="1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MATCH(J53,INDIRECT("'数出表_Excel（アレルギー入力）'!"&amp;I8-1&amp;":"&amp;I8-1&amp;""),0)-1),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MATCH(J53,INDIRECT("'数出表_Excel（アレルギー入力）'!"&amp;I8-1&amp;":"&amp;I8-1&amp;""),0)-1),
 "")="",0,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MATCH(J53,INDIRECT("'数出表_Excel（アレルギー入力）'!"&amp;I8-1&amp;":"&amp;I8-1&amp;""),0)-1),
 "")),0),"")</f>
        <v/>
      </c>
      <c r="N56" s="99"/>
      <c r="Q56" s="97" t="str">
        <f ca="1">IF(R53&lt;&gt;"",
IFERROR(INT(R53/R55),""),"")</f>
        <v/>
      </c>
      <c r="R56" s="95"/>
      <c r="S56" s="97" t="str">
        <f ca="1">IFERROR(MOD(R53,R55),"")</f>
        <v/>
      </c>
      <c r="T56" s="95"/>
      <c r="U56" s="98" t="str" cm="1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MATCH(R53,INDIRECT("'数出表_Excel（アレルギー入力）'!"&amp;Q8-1&amp;":"&amp;Q8-1&amp;""),0)-1),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MATCH(R53,INDIRECT("'数出表_Excel（アレルギー入力）'!"&amp;Q8-1&amp;":"&amp;Q8-1&amp;""),0)-1),
 "")="",0,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MATCH(R53,INDIRECT("'数出表_Excel（アレルギー入力）'!"&amp;Q8-1&amp;":"&amp;Q8-1&amp;""),0)-1),
 "")),0),"")</f>
        <v/>
      </c>
      <c r="V56" s="99"/>
      <c r="X56" s="97" t="str">
        <f ca="1">IF(Y53&lt;&gt;"",
IFERROR(INT(Y53/Y55),""),"")</f>
        <v/>
      </c>
      <c r="Y56" s="95"/>
      <c r="Z56" s="97" t="str">
        <f ca="1">IFERROR(MOD(Y53,Y55),"")</f>
        <v/>
      </c>
      <c r="AA56" s="95"/>
      <c r="AB56" s="98" t="str" cm="1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MATCH(Y53,INDIRECT("'数出表_Excel（アレルギー入力）'!"&amp;X8-1&amp;":"&amp;X8-1&amp;""),0)-1),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MATCH(Y53,INDIRECT("'数出表_Excel（アレルギー入力）'!"&amp;X8-1&amp;":"&amp;X8-1&amp;""),0)-1),
 "")="",0,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MATCH(Y53,INDIRECT("'数出表_Excel（アレルギー入力）'!"&amp;X8-1&amp;":"&amp;X8-1&amp;""),0)-1),
 "")),0),"")</f>
        <v/>
      </c>
      <c r="AC56" s="99"/>
      <c r="AF56" s="97" t="str">
        <f ca="1">IF(AG53&lt;&gt;"",
IFERROR(INT(AG53/AG55),""),"")</f>
        <v/>
      </c>
      <c r="AG56" s="95"/>
      <c r="AH56" s="97" t="str">
        <f ca="1">IFERROR(MOD(AG53,AG55),"")</f>
        <v/>
      </c>
      <c r="AI56" s="95"/>
      <c r="AJ56" s="98" t="str" cm="1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MATCH(AG53,INDIRECT("'数出表_Excel（アレルギー入力）'!"&amp;AF8-1&amp;":"&amp;AF8-1&amp;""),0)-1),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MATCH(AG53,INDIRECT("'数出表_Excel（アレルギー入力）'!"&amp;AF8-1&amp;":"&amp;AF8-1&amp;""),0)-1),
 "")="",0,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MATCH(AG53,INDIRECT("'数出表_Excel（アレルギー入力）'!"&amp;AF8-1&amp;":"&amp;AF8-1&amp;""),0)-1),
 "")),0),"")</f>
        <v/>
      </c>
      <c r="AK56" s="99"/>
      <c r="AM56" s="97" t="str">
        <f ca="1">IF(AN53&lt;&gt;"",
IFERROR(INT(AN53/AN55),""),"")</f>
        <v/>
      </c>
      <c r="AN56" s="95"/>
      <c r="AO56" s="97" t="str">
        <f ca="1">IFERROR(MOD(AN53,AN55),"")</f>
        <v/>
      </c>
      <c r="AP56" s="95"/>
      <c r="AQ56" s="98" t="str" cm="1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MATCH(AN53,INDIRECT("'数出表_Excel（アレルギー入力）'!"&amp;AM8-1&amp;":"&amp;AM8-1&amp;""),0)-1),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MATCH(AN53,INDIRECT("'数出表_Excel（アレルギー入力）'!"&amp;AM8-1&amp;":"&amp;AM8-1&amp;""),0)-1),
 "")="",0,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MATCH(AN53,INDIRECT("'数出表_Excel（アレルギー入力）'!"&amp;AM8-1&amp;":"&amp;AM8-1&amp;""),0)-1),
 "")),0),"")</f>
        <v/>
      </c>
      <c r="AR56" s="99"/>
      <c r="AU56" s="97" t="str">
        <f ca="1">IF(AV53&lt;&gt;"",
IFERROR(INT(AV53/AV55),""),"")</f>
        <v/>
      </c>
      <c r="AV56" s="95"/>
      <c r="AW56" s="97" t="str">
        <f ca="1">IFERROR(MOD(AV53,AV55),"")</f>
        <v/>
      </c>
      <c r="AX56" s="95"/>
      <c r="AY56" s="98" t="str" cm="1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MATCH(AV53,INDIRECT("'数出表_Excel（アレルギー入力）'!"&amp;AU8-1&amp;":"&amp;AU8-1&amp;""),0)-1),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MATCH(AV53,INDIRECT("'数出表_Excel（アレルギー入力）'!"&amp;AU8-1&amp;":"&amp;AU8-1&amp;""),0)-1),
 "")="",0,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MATCH(AV53,INDIRECT("'数出表_Excel（アレルギー入力）'!"&amp;AU8-1&amp;":"&amp;AU8-1&amp;""),0)-1),
 "")),0),"")</f>
        <v/>
      </c>
      <c r="AZ56" s="99"/>
      <c r="BB56" s="97" t="str">
        <f ca="1">IF(BC53&lt;&gt;"",
IFERROR(INT(BC53/BC55),""),"")</f>
        <v/>
      </c>
      <c r="BC56" s="95"/>
      <c r="BD56" s="97" t="str">
        <f ca="1">IFERROR(MOD(BC53,BC55),"")</f>
        <v/>
      </c>
      <c r="BE56" s="95"/>
      <c r="BF56" s="98" t="str" cm="1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MATCH(BC53,INDIRECT("'数出表_Excel（アレルギー入力）'!"&amp;BB8-1&amp;":"&amp;BB8-1&amp;""),0)-1),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MATCH(BC53,INDIRECT("'数出表_Excel（アレルギー入力）'!"&amp;BB8-1&amp;":"&amp;BB8-1&amp;""),0)-1),
 "")="",0,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MATCH(BC53,INDIRECT("'数出表_Excel（アレルギー入力）'!"&amp;BB8-1&amp;":"&amp;BB8-1&amp;""),0)-1),
 "")),0),"")</f>
        <v/>
      </c>
      <c r="BG56" s="99"/>
      <c r="BJ56" s="97" t="str">
        <f ca="1">IF(BK53&lt;&gt;"",
IFERROR(INT(BK53/BK55),""),"")</f>
        <v/>
      </c>
      <c r="BK56" s="95"/>
      <c r="BL56" s="97" t="str">
        <f ca="1">IFERROR(MOD(BK53,BK55),"")</f>
        <v/>
      </c>
      <c r="BM56" s="95"/>
      <c r="BN56" s="98" t="str" cm="1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MATCH(BK53,INDIRECT("'数出表_Excel（アレルギー入力）'!"&amp;BJ8-1&amp;":"&amp;BJ8-1&amp;""),0)-1),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MATCH(BK53,INDIRECT("'数出表_Excel（アレルギー入力）'!"&amp;BJ8-1&amp;":"&amp;BJ8-1&amp;""),0)-1),
 "")="",0,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MATCH(BK53,INDIRECT("'数出表_Excel（アレルギー入力）'!"&amp;BJ8-1&amp;":"&amp;BJ8-1&amp;""),0)-1),
 "")),0),"")</f>
        <v/>
      </c>
      <c r="BO56" s="99"/>
      <c r="BQ56" s="97" t="str">
        <f ca="1">IF(BR53&lt;&gt;"",
IFERROR(INT(BR53/BR55),""),"")</f>
        <v/>
      </c>
      <c r="BR56" s="95"/>
      <c r="BS56" s="97" t="str">
        <f ca="1">IFERROR(MOD(BR53,BR55),"")</f>
        <v/>
      </c>
      <c r="BT56" s="95"/>
      <c r="BU56" s="98" t="str" cm="1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MATCH(BR53,INDIRECT("'数出表_Excel（アレルギー入力）'!"&amp;BQ8-1&amp;":"&amp;BQ8-1&amp;""),0)-1),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MATCH(BR53,INDIRECT("'数出表_Excel（アレルギー入力）'!"&amp;BQ8-1&amp;":"&amp;BQ8-1&amp;""),0)-1),
 "")="",0,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MATCH(BR53,INDIRECT("'数出表_Excel（アレルギー入力）'!"&amp;BQ8-1&amp;":"&amp;BQ8-1&amp;""),0)-1),
 "")),0),"")</f>
        <v/>
      </c>
      <c r="BV56" s="99"/>
      <c r="BX56" s="77">
        <f>BX52+7</f>
        <v>49</v>
      </c>
      <c r="BY56" s="77" t="str" cm="1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77" t="str" cm="1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77" t="str" cm="1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77" t="str" cm="1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77" t="str" cm="1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77" t="str" cm="1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77" t="str" cm="1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77" t="str" cm="1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77" t="str" cm="1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77" t="str" cm="1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77">
        <f t="shared" ca="1" si="0"/>
        <v>0</v>
      </c>
      <c r="CJ56" s="77" t="b" cm="1">
        <f t="array" aca="1" ref="CJ56" ca="1">SUMPRODUCT((LEN(BY56:CH56)&gt;0)*1)&gt;0</f>
        <v>0</v>
      </c>
      <c r="CK56" s="77" t="str">
        <f t="array" aca="1" ref="CK56" ca="1">IFERROR(SMALL(IF(CI$1:CI$100&lt;&gt;0,CI$1:CI$100),ROW(A56)),"")</f>
        <v/>
      </c>
      <c r="CL56" s="77" t="str" cm="1">
        <f t="array" aca="1" ref="CL56" ca="1">IF($CK56&lt;&gt;"",
INDIRECT(""&amp;IF(COLUMN(BY56)&lt;=26,CHAR(COLUMN(BY56)+64),CHAR(INT((COLUMN(BY56)-1)/26)+64)&amp;CHAR(MOD(COLUMN(BY56)-1,26)+65))&amp;$CK56&amp;""),"")</f>
        <v/>
      </c>
      <c r="CM56" s="77" t="str" cm="1">
        <f t="array" aca="1" ref="CM56" ca="1">IF($CK56&lt;&gt;"",
INDIRECT(""&amp;IF(COLUMN(BZ56)&lt;=26,CHAR(COLUMN(BZ56)+64),CHAR(INT((COLUMN(BZ56)-1)/26)+64)&amp;CHAR(MOD(COLUMN(BZ56)-1,26)+65))&amp;$CK56&amp;""),"")</f>
        <v/>
      </c>
      <c r="CN56" s="77" t="str" cm="1">
        <f t="array" aca="1" ref="CN56" ca="1">IF($CK56&lt;&gt;"",
INDIRECT(""&amp;IF(COLUMN(CA56)&lt;=26,CHAR(COLUMN(CA56)+64),CHAR(INT((COLUMN(CA56)-1)/26)+64)&amp;CHAR(MOD(COLUMN(CA56)-1,26)+65))&amp;$CK56&amp;""),"")</f>
        <v/>
      </c>
      <c r="CO56" s="77" t="str" cm="1">
        <f t="array" aca="1" ref="CO56" ca="1">IF($CK56&lt;&gt;"",
INDIRECT(""&amp;IF(COLUMN(CB56)&lt;=26,CHAR(COLUMN(CB56)+64),CHAR(INT((COLUMN(CB56)-1)/26)+64)&amp;CHAR(MOD(COLUMN(CB56)-1,26)+65))&amp;$CK56&amp;""),"")</f>
        <v/>
      </c>
      <c r="CP56" s="77" t="str" cm="1">
        <f t="array" aca="1" ref="CP56" ca="1">IF($CK56&lt;&gt;"",
INDIRECT(""&amp;IF(COLUMN(CC56)&lt;=26,CHAR(COLUMN(CC56)+64),CHAR(INT((COLUMN(CC56)-1)/26)+64)&amp;CHAR(MOD(COLUMN(CC56)-1,26)+65))&amp;$CK56&amp;""),"")</f>
        <v/>
      </c>
      <c r="CQ56" s="77" t="str" cm="1">
        <f t="array" aca="1" ref="CQ56" ca="1">IF($CK56&lt;&gt;"",
INDIRECT(""&amp;IF(COLUMN(CD56)&lt;=26,CHAR(COLUMN(CD56)+64),CHAR(INT((COLUMN(CD56)-1)/26)+64)&amp;CHAR(MOD(COLUMN(CD56)-1,26)+65))&amp;$CK56&amp;""),"")</f>
        <v/>
      </c>
      <c r="CR56" s="77" t="str" cm="1">
        <f t="array" aca="1" ref="CR56" ca="1">IF($CK56&lt;&gt;"",
INDIRECT(""&amp;IF(COLUMN(CE56)&lt;=26,CHAR(COLUMN(CE56)+64),CHAR(INT((COLUMN(CE56)-1)/26)+64)&amp;CHAR(MOD(COLUMN(CE56)-1,26)+65))&amp;$CK56&amp;""),"")</f>
        <v/>
      </c>
      <c r="CS56" s="77" t="str" cm="1">
        <f t="array" aca="1" ref="CS56" ca="1">IF($CK56&lt;&gt;"",
INDIRECT(""&amp;IF(COLUMN(CF56)&lt;=26,CHAR(COLUMN(CF56)+64),CHAR(INT((COLUMN(CF56)-1)/26)+64)&amp;CHAR(MOD(COLUMN(CF56)-1,26)+65))&amp;$CK56&amp;""),"")</f>
        <v/>
      </c>
      <c r="CT56" s="77" t="str" cm="1">
        <f t="array" aca="1" ref="CT56" ca="1">IF($CK56&lt;&gt;"",
INDIRECT(""&amp;IF(COLUMN(CG56)&lt;=26,CHAR(COLUMN(CG56)+64),CHAR(INT((COLUMN(CG56)-1)/26)+64)&amp;CHAR(MOD(COLUMN(CG56)-1,26)+65))&amp;$CK56&amp;""),"")</f>
        <v/>
      </c>
      <c r="CU56" s="77" t="str" cm="1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77" customFormat="1" ht="18" customHeight="1" x14ac:dyDescent="0.55000000000000004">
      <c r="A57" s="53"/>
      <c r="B57" s="76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88" t="str">
        <f ca="1">IF(C60&lt;&gt;"",C15,"")</f>
        <v/>
      </c>
      <c r="D57" s="89"/>
      <c r="E57" s="89"/>
      <c r="F57" s="89"/>
      <c r="G57" s="106"/>
      <c r="H57" s="53"/>
      <c r="I57" s="76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88" t="str">
        <f ca="1">IF(J60&lt;&gt;"",J15,"")</f>
        <v/>
      </c>
      <c r="K57" s="89"/>
      <c r="L57" s="89"/>
      <c r="M57" s="89"/>
      <c r="N57" s="103"/>
      <c r="O57" s="53"/>
      <c r="P57" s="53"/>
      <c r="Q57" s="76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88" t="str">
        <f ca="1">IF(R60&lt;&gt;"",R15,"")</f>
        <v/>
      </c>
      <c r="S57" s="89"/>
      <c r="T57" s="89"/>
      <c r="U57" s="89"/>
      <c r="V57" s="106"/>
      <c r="W57" s="53"/>
      <c r="X57" s="76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88" t="str">
        <f ca="1">IF(Y60&lt;&gt;"",Y15,"")</f>
        <v/>
      </c>
      <c r="Z57" s="89"/>
      <c r="AA57" s="89"/>
      <c r="AB57" s="89"/>
      <c r="AC57" s="103"/>
      <c r="AD57" s="53"/>
      <c r="AE57" s="53"/>
      <c r="AF57" s="76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88" t="str">
        <f ca="1">IF(AG60&lt;&gt;"",AG15,"")</f>
        <v/>
      </c>
      <c r="AH57" s="89"/>
      <c r="AI57" s="89"/>
      <c r="AJ57" s="89"/>
      <c r="AK57" s="106"/>
      <c r="AL57" s="53"/>
      <c r="AM57" s="76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88" t="str">
        <f ca="1">IF(AN60&lt;&gt;"",AN15,"")</f>
        <v/>
      </c>
      <c r="AO57" s="89"/>
      <c r="AP57" s="89"/>
      <c r="AQ57" s="89"/>
      <c r="AR57" s="103"/>
      <c r="AS57" s="53"/>
      <c r="AT57" s="53"/>
      <c r="AU57" s="76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88" t="str">
        <f ca="1">IF(AV60&lt;&gt;"",AV15,"")</f>
        <v/>
      </c>
      <c r="AW57" s="89"/>
      <c r="AX57" s="89"/>
      <c r="AY57" s="89"/>
      <c r="AZ57" s="106"/>
      <c r="BA57" s="53"/>
      <c r="BB57" s="76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88" t="str">
        <f ca="1">IF(BC60&lt;&gt;"",BC15,"")</f>
        <v/>
      </c>
      <c r="BD57" s="89"/>
      <c r="BE57" s="89"/>
      <c r="BF57" s="89"/>
      <c r="BG57" s="103"/>
      <c r="BH57" s="53"/>
      <c r="BI57" s="53"/>
      <c r="BJ57" s="76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88" t="str">
        <f ca="1">IF(BK60&lt;&gt;"",BK15,"")</f>
        <v/>
      </c>
      <c r="BL57" s="89"/>
      <c r="BM57" s="89"/>
      <c r="BN57" s="89"/>
      <c r="BO57" s="106"/>
      <c r="BP57" s="53"/>
      <c r="BQ57" s="76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88" t="str">
        <f ca="1">IF(BR60&lt;&gt;"",BR15,"")</f>
        <v/>
      </c>
      <c r="BS57" s="89"/>
      <c r="BT57" s="89"/>
      <c r="BU57" s="89"/>
      <c r="BV57" s="103"/>
      <c r="BW57" s="53"/>
      <c r="BX57" s="77">
        <f>BX53+7</f>
        <v>14</v>
      </c>
      <c r="BY57" s="77" t="str" cm="1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77" t="str" cm="1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77" t="str" cm="1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77" t="str" cm="1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77" t="str" cm="1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77" t="str" cm="1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77" t="str" cm="1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77" t="str" cm="1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77" t="str" cm="1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77" t="str" cm="1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77">
        <f t="shared" ca="1" si="0"/>
        <v>0</v>
      </c>
      <c r="CJ57" s="77" t="b" cm="1">
        <f t="array" aca="1" ref="CJ57" ca="1">SUMPRODUCT((LEN(BY57:CH57)&gt;0)*1)&gt;0</f>
        <v>0</v>
      </c>
      <c r="CK57" s="77" t="str">
        <f t="array" aca="1" ref="CK57" ca="1">IFERROR(SMALL(IF(CI$1:CI$100&lt;&gt;0,CI$1:CI$100),ROW(A57)),"")</f>
        <v/>
      </c>
      <c r="CL57" s="77" t="str" cm="1">
        <f t="array" aca="1" ref="CL57" ca="1">IF($CK57&lt;&gt;"",
INDIRECT(""&amp;IF(COLUMN(BY57)&lt;=26,CHAR(COLUMN(BY57)+64),CHAR(INT((COLUMN(BY57)-1)/26)+64)&amp;CHAR(MOD(COLUMN(BY57)-1,26)+65))&amp;$CK57&amp;""),"")</f>
        <v/>
      </c>
      <c r="CM57" s="77" t="str" cm="1">
        <f t="array" aca="1" ref="CM57" ca="1">IF($CK57&lt;&gt;"",
INDIRECT(""&amp;IF(COLUMN(BZ57)&lt;=26,CHAR(COLUMN(BZ57)+64),CHAR(INT((COLUMN(BZ57)-1)/26)+64)&amp;CHAR(MOD(COLUMN(BZ57)-1,26)+65))&amp;$CK57&amp;""),"")</f>
        <v/>
      </c>
      <c r="CN57" s="77" t="str" cm="1">
        <f t="array" aca="1" ref="CN57" ca="1">IF($CK57&lt;&gt;"",
INDIRECT(""&amp;IF(COLUMN(CA57)&lt;=26,CHAR(COLUMN(CA57)+64),CHAR(INT((COLUMN(CA57)-1)/26)+64)&amp;CHAR(MOD(COLUMN(CA57)-1,26)+65))&amp;$CK57&amp;""),"")</f>
        <v/>
      </c>
      <c r="CO57" s="77" t="str" cm="1">
        <f t="array" aca="1" ref="CO57" ca="1">IF($CK57&lt;&gt;"",
INDIRECT(""&amp;IF(COLUMN(CB57)&lt;=26,CHAR(COLUMN(CB57)+64),CHAR(INT((COLUMN(CB57)-1)/26)+64)&amp;CHAR(MOD(COLUMN(CB57)-1,26)+65))&amp;$CK57&amp;""),"")</f>
        <v/>
      </c>
      <c r="CP57" s="77" t="str" cm="1">
        <f t="array" aca="1" ref="CP57" ca="1">IF($CK57&lt;&gt;"",
INDIRECT(""&amp;IF(COLUMN(CC57)&lt;=26,CHAR(COLUMN(CC57)+64),CHAR(INT((COLUMN(CC57)-1)/26)+64)&amp;CHAR(MOD(COLUMN(CC57)-1,26)+65))&amp;$CK57&amp;""),"")</f>
        <v/>
      </c>
      <c r="CQ57" s="77" t="str" cm="1">
        <f t="array" aca="1" ref="CQ57" ca="1">IF($CK57&lt;&gt;"",
INDIRECT(""&amp;IF(COLUMN(CD57)&lt;=26,CHAR(COLUMN(CD57)+64),CHAR(INT((COLUMN(CD57)-1)/26)+64)&amp;CHAR(MOD(COLUMN(CD57)-1,26)+65))&amp;$CK57&amp;""),"")</f>
        <v/>
      </c>
      <c r="CR57" s="77" t="str" cm="1">
        <f t="array" aca="1" ref="CR57" ca="1">IF($CK57&lt;&gt;"",
INDIRECT(""&amp;IF(COLUMN(CE57)&lt;=26,CHAR(COLUMN(CE57)+64),CHAR(INT((COLUMN(CE57)-1)/26)+64)&amp;CHAR(MOD(COLUMN(CE57)-1,26)+65))&amp;$CK57&amp;""),"")</f>
        <v/>
      </c>
      <c r="CS57" s="77" t="str" cm="1">
        <f t="array" aca="1" ref="CS57" ca="1">IF($CK57&lt;&gt;"",
INDIRECT(""&amp;IF(COLUMN(CF57)&lt;=26,CHAR(COLUMN(CF57)+64),CHAR(INT((COLUMN(CF57)-1)/26)+64)&amp;CHAR(MOD(COLUMN(CF57)-1,26)+65))&amp;$CK57&amp;""),"")</f>
        <v/>
      </c>
      <c r="CT57" s="77" t="str" cm="1">
        <f t="array" aca="1" ref="CT57" ca="1">IF($CK57&lt;&gt;"",
INDIRECT(""&amp;IF(COLUMN(CG57)&lt;=26,CHAR(COLUMN(CG57)+64),CHAR(INT((COLUMN(CG57)-1)/26)+64)&amp;CHAR(MOD(COLUMN(CG57)-1,26)+65))&amp;$CK57&amp;""),"")</f>
        <v/>
      </c>
      <c r="CU57" s="77" t="str" cm="1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77" customFormat="1" ht="18" customHeight="1" x14ac:dyDescent="0.55000000000000004">
      <c r="A58" s="53"/>
      <c r="B58" s="7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9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53"/>
      <c r="E58" s="108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8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00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53"/>
      <c r="I58" s="7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9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53"/>
      <c r="L58" s="108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8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00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53"/>
      <c r="P58" s="53"/>
      <c r="Q58" s="7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9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53"/>
      <c r="T58" s="108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8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0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53"/>
      <c r="X58" s="7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9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53"/>
      <c r="AA58" s="108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8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00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53"/>
      <c r="AE58" s="53"/>
      <c r="AF58" s="7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9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53"/>
      <c r="AI58" s="108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8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0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53"/>
      <c r="AM58" s="7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9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53"/>
      <c r="AP58" s="108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8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00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53"/>
      <c r="AT58" s="53"/>
      <c r="AU58" s="7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9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53"/>
      <c r="AX58" s="108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8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0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53"/>
      <c r="BB58" s="7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9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53"/>
      <c r="BE58" s="108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8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00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53"/>
      <c r="BI58" s="53"/>
      <c r="BJ58" s="7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9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53"/>
      <c r="BM58" s="108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8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0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53"/>
      <c r="BQ58" s="7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9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53"/>
      <c r="BT58" s="108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8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00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53"/>
      <c r="BX58" s="77">
        <f>BX54+7</f>
        <v>56</v>
      </c>
      <c r="BY58" s="77" t="str" cm="1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77" t="str" cm="1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77" t="str" cm="1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77" t="str" cm="1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77" t="str" cm="1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77" t="str" cm="1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77" t="str" cm="1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77" t="str" cm="1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77" t="str" cm="1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77" t="str" cm="1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77">
        <f t="shared" ca="1" si="0"/>
        <v>0</v>
      </c>
      <c r="CJ58" s="77" t="b" cm="1">
        <f t="array" aca="1" ref="CJ58" ca="1">SUMPRODUCT((LEN(BY58:CH58)&gt;0)*1)&gt;0</f>
        <v>0</v>
      </c>
      <c r="CK58" s="77" t="str">
        <f t="array" aca="1" ref="CK58" ca="1">IFERROR(SMALL(IF(CI$1:CI$100&lt;&gt;0,CI$1:CI$100),ROW(A58)),"")</f>
        <v/>
      </c>
      <c r="CL58" s="77" t="str" cm="1">
        <f t="array" aca="1" ref="CL58" ca="1">IF($CK58&lt;&gt;"",
INDIRECT(""&amp;IF(COLUMN(BY58)&lt;=26,CHAR(COLUMN(BY58)+64),CHAR(INT((COLUMN(BY58)-1)/26)+64)&amp;CHAR(MOD(COLUMN(BY58)-1,26)+65))&amp;$CK58&amp;""),"")</f>
        <v/>
      </c>
      <c r="CM58" s="77" t="str" cm="1">
        <f t="array" aca="1" ref="CM58" ca="1">IF($CK58&lt;&gt;"",
INDIRECT(""&amp;IF(COLUMN(BZ58)&lt;=26,CHAR(COLUMN(BZ58)+64),CHAR(INT((COLUMN(BZ58)-1)/26)+64)&amp;CHAR(MOD(COLUMN(BZ58)-1,26)+65))&amp;$CK58&amp;""),"")</f>
        <v/>
      </c>
      <c r="CN58" s="77" t="str" cm="1">
        <f t="array" aca="1" ref="CN58" ca="1">IF($CK58&lt;&gt;"",
INDIRECT(""&amp;IF(COLUMN(CA58)&lt;=26,CHAR(COLUMN(CA58)+64),CHAR(INT((COLUMN(CA58)-1)/26)+64)&amp;CHAR(MOD(COLUMN(CA58)-1,26)+65))&amp;$CK58&amp;""),"")</f>
        <v/>
      </c>
      <c r="CO58" s="77" t="str" cm="1">
        <f t="array" aca="1" ref="CO58" ca="1">IF($CK58&lt;&gt;"",
INDIRECT(""&amp;IF(COLUMN(CB58)&lt;=26,CHAR(COLUMN(CB58)+64),CHAR(INT((COLUMN(CB58)-1)/26)+64)&amp;CHAR(MOD(COLUMN(CB58)-1,26)+65))&amp;$CK58&amp;""),"")</f>
        <v/>
      </c>
      <c r="CP58" s="77" t="str" cm="1">
        <f t="array" aca="1" ref="CP58" ca="1">IF($CK58&lt;&gt;"",
INDIRECT(""&amp;IF(COLUMN(CC58)&lt;=26,CHAR(COLUMN(CC58)+64),CHAR(INT((COLUMN(CC58)-1)/26)+64)&amp;CHAR(MOD(COLUMN(CC58)-1,26)+65))&amp;$CK58&amp;""),"")</f>
        <v/>
      </c>
      <c r="CQ58" s="77" t="str" cm="1">
        <f t="array" aca="1" ref="CQ58" ca="1">IF($CK58&lt;&gt;"",
INDIRECT(""&amp;IF(COLUMN(CD58)&lt;=26,CHAR(COLUMN(CD58)+64),CHAR(INT((COLUMN(CD58)-1)/26)+64)&amp;CHAR(MOD(COLUMN(CD58)-1,26)+65))&amp;$CK58&amp;""),"")</f>
        <v/>
      </c>
      <c r="CR58" s="77" t="str" cm="1">
        <f t="array" aca="1" ref="CR58" ca="1">IF($CK58&lt;&gt;"",
INDIRECT(""&amp;IF(COLUMN(CE58)&lt;=26,CHAR(COLUMN(CE58)+64),CHAR(INT((COLUMN(CE58)-1)/26)+64)&amp;CHAR(MOD(COLUMN(CE58)-1,26)+65))&amp;$CK58&amp;""),"")</f>
        <v/>
      </c>
      <c r="CS58" s="77" t="str" cm="1">
        <f t="array" aca="1" ref="CS58" ca="1">IF($CK58&lt;&gt;"",
INDIRECT(""&amp;IF(COLUMN(CF58)&lt;=26,CHAR(COLUMN(CF58)+64),CHAR(INT((COLUMN(CF58)-1)/26)+64)&amp;CHAR(MOD(COLUMN(CF58)-1,26)+65))&amp;$CK58&amp;""),"")</f>
        <v/>
      </c>
      <c r="CT58" s="77" t="str" cm="1">
        <f t="array" aca="1" ref="CT58" ca="1">IF($CK58&lt;&gt;"",
INDIRECT(""&amp;IF(COLUMN(CG58)&lt;=26,CHAR(COLUMN(CG58)+64),CHAR(INT((COLUMN(CG58)-1)/26)+64)&amp;CHAR(MOD(COLUMN(CG58)-1,26)+65))&amp;$CK58&amp;""),"")</f>
        <v/>
      </c>
      <c r="CU58" s="77" t="str" cm="1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77" customFormat="1" ht="22.2" x14ac:dyDescent="0.55000000000000004">
      <c r="A59" s="53"/>
      <c r="B59" s="85"/>
      <c r="C59" s="86" t="str">
        <f ca="1">IF(C60&lt;&gt;"","園児","")</f>
        <v/>
      </c>
      <c r="D59" s="87"/>
      <c r="E59" s="96" t="str">
        <f ca="1">IF(C60&lt;&gt;"","先生","")</f>
        <v/>
      </c>
      <c r="F59" s="87"/>
      <c r="G59" s="101"/>
      <c r="H59" s="53"/>
      <c r="I59" s="85"/>
      <c r="J59" s="86" t="str">
        <f ca="1">IF(J60&lt;&gt;"","園児","")</f>
        <v/>
      </c>
      <c r="K59" s="87"/>
      <c r="L59" s="96" t="str">
        <f ca="1">IF(J60&lt;&gt;"","先生","")</f>
        <v/>
      </c>
      <c r="M59" s="87"/>
      <c r="N59" s="101"/>
      <c r="O59" s="53"/>
      <c r="P59" s="53"/>
      <c r="Q59" s="85"/>
      <c r="R59" s="86" t="str">
        <f ca="1">IF(R60&lt;&gt;"","園児","")</f>
        <v/>
      </c>
      <c r="S59" s="87"/>
      <c r="T59" s="96" t="str">
        <f ca="1">IF(R60&lt;&gt;"","先生","")</f>
        <v/>
      </c>
      <c r="U59" s="87"/>
      <c r="V59" s="101"/>
      <c r="W59" s="53"/>
      <c r="X59" s="85"/>
      <c r="Y59" s="86" t="str">
        <f ca="1">IF(Y60&lt;&gt;"","園児","")</f>
        <v/>
      </c>
      <c r="Z59" s="87"/>
      <c r="AA59" s="96" t="str">
        <f ca="1">IF(Y60&lt;&gt;"","先生","")</f>
        <v/>
      </c>
      <c r="AB59" s="87"/>
      <c r="AC59" s="101"/>
      <c r="AD59" s="53"/>
      <c r="AE59" s="53"/>
      <c r="AF59" s="85"/>
      <c r="AG59" s="86" t="str">
        <f ca="1">IF(AG60&lt;&gt;"","園児","")</f>
        <v/>
      </c>
      <c r="AH59" s="87"/>
      <c r="AI59" s="96" t="str">
        <f ca="1">IF(AG60&lt;&gt;"","先生","")</f>
        <v/>
      </c>
      <c r="AJ59" s="87"/>
      <c r="AK59" s="101"/>
      <c r="AL59" s="53"/>
      <c r="AM59" s="85"/>
      <c r="AN59" s="86" t="str">
        <f ca="1">IF(AN60&lt;&gt;"","園児","")</f>
        <v/>
      </c>
      <c r="AO59" s="87"/>
      <c r="AP59" s="96" t="str">
        <f ca="1">IF(AN60&lt;&gt;"","先生","")</f>
        <v/>
      </c>
      <c r="AQ59" s="87"/>
      <c r="AR59" s="101"/>
      <c r="AS59" s="53"/>
      <c r="AT59" s="53"/>
      <c r="AU59" s="85"/>
      <c r="AV59" s="86" t="str">
        <f ca="1">IF(AV60&lt;&gt;"","園児","")</f>
        <v/>
      </c>
      <c r="AW59" s="87"/>
      <c r="AX59" s="96" t="str">
        <f ca="1">IF(AV60&lt;&gt;"","先生","")</f>
        <v/>
      </c>
      <c r="AY59" s="87"/>
      <c r="AZ59" s="101"/>
      <c r="BA59" s="53"/>
      <c r="BB59" s="85"/>
      <c r="BC59" s="86" t="str">
        <f ca="1">IF(BC60&lt;&gt;"","園児","")</f>
        <v/>
      </c>
      <c r="BD59" s="87"/>
      <c r="BE59" s="96" t="str">
        <f ca="1">IF(BC60&lt;&gt;"","先生","")</f>
        <v/>
      </c>
      <c r="BF59" s="87"/>
      <c r="BG59" s="101"/>
      <c r="BH59" s="53"/>
      <c r="BI59" s="53"/>
      <c r="BJ59" s="85"/>
      <c r="BK59" s="86" t="str">
        <f ca="1">IF(BK60&lt;&gt;"","園児","")</f>
        <v/>
      </c>
      <c r="BL59" s="87"/>
      <c r="BM59" s="96" t="str">
        <f ca="1">IF(BK60&lt;&gt;"","先生","")</f>
        <v/>
      </c>
      <c r="BN59" s="87"/>
      <c r="BO59" s="101"/>
      <c r="BP59" s="53"/>
      <c r="BQ59" s="85"/>
      <c r="BR59" s="86" t="str">
        <f ca="1">IF(BR60&lt;&gt;"","園児","")</f>
        <v/>
      </c>
      <c r="BS59" s="87"/>
      <c r="BT59" s="96" t="str">
        <f ca="1">IF(BR60&lt;&gt;"","先生","")</f>
        <v/>
      </c>
      <c r="BU59" s="87"/>
      <c r="BV59" s="101"/>
      <c r="BW59" s="53"/>
      <c r="BX59">
        <f>BX55+7</f>
        <v>14</v>
      </c>
      <c r="BY59" s="77" t="str" cm="1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77" t="str" cm="1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77" t="str" cm="1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77" t="str" cm="1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77" t="str" cm="1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77" t="str" cm="1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77" t="str" cm="1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77" t="str" cm="1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77" t="str" cm="1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77" t="str" cm="1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77">
        <f t="shared" ca="1" si="0"/>
        <v>0</v>
      </c>
      <c r="CJ59" s="77" t="b" cm="1">
        <f t="array" aca="1" ref="CJ59" ca="1">SUMPRODUCT((LEN(BY59:CH59)&gt;0)*1)&gt;0</f>
        <v>0</v>
      </c>
      <c r="CK59" s="77" t="str">
        <f t="array" aca="1" ref="CK59" ca="1">IFERROR(SMALL(IF(CI$1:CI$100&lt;&gt;0,CI$1:CI$100),ROW(A59)),"")</f>
        <v/>
      </c>
      <c r="CL59" s="77" t="str" cm="1">
        <f t="array" aca="1" ref="CL59" ca="1">IF($CK59&lt;&gt;"",
INDIRECT(""&amp;IF(COLUMN(BY59)&lt;=26,CHAR(COLUMN(BY59)+64),CHAR(INT((COLUMN(BY59)-1)/26)+64)&amp;CHAR(MOD(COLUMN(BY59)-1,26)+65))&amp;$CK59&amp;""),"")</f>
        <v/>
      </c>
      <c r="CM59" s="77" t="str" cm="1">
        <f t="array" aca="1" ref="CM59" ca="1">IF($CK59&lt;&gt;"",
INDIRECT(""&amp;IF(COLUMN(BZ59)&lt;=26,CHAR(COLUMN(BZ59)+64),CHAR(INT((COLUMN(BZ59)-1)/26)+64)&amp;CHAR(MOD(COLUMN(BZ59)-1,26)+65))&amp;$CK59&amp;""),"")</f>
        <v/>
      </c>
      <c r="CN59" s="77" t="str" cm="1">
        <f t="array" aca="1" ref="CN59" ca="1">IF($CK59&lt;&gt;"",
INDIRECT(""&amp;IF(COLUMN(CA59)&lt;=26,CHAR(COLUMN(CA59)+64),CHAR(INT((COLUMN(CA59)-1)/26)+64)&amp;CHAR(MOD(COLUMN(CA59)-1,26)+65))&amp;$CK59&amp;""),"")</f>
        <v/>
      </c>
      <c r="CO59" s="77" t="str" cm="1">
        <f t="array" aca="1" ref="CO59" ca="1">IF($CK59&lt;&gt;"",
INDIRECT(""&amp;IF(COLUMN(CB59)&lt;=26,CHAR(COLUMN(CB59)+64),CHAR(INT((COLUMN(CB59)-1)/26)+64)&amp;CHAR(MOD(COLUMN(CB59)-1,26)+65))&amp;$CK59&amp;""),"")</f>
        <v/>
      </c>
      <c r="CP59" s="77" t="str" cm="1">
        <f t="array" aca="1" ref="CP59" ca="1">IF($CK59&lt;&gt;"",
INDIRECT(""&amp;IF(COLUMN(CC59)&lt;=26,CHAR(COLUMN(CC59)+64),CHAR(INT((COLUMN(CC59)-1)/26)+64)&amp;CHAR(MOD(COLUMN(CC59)-1,26)+65))&amp;$CK59&amp;""),"")</f>
        <v/>
      </c>
      <c r="CQ59" s="77" t="str" cm="1">
        <f t="array" aca="1" ref="CQ59" ca="1">IF($CK59&lt;&gt;"",
INDIRECT(""&amp;IF(COLUMN(CD59)&lt;=26,CHAR(COLUMN(CD59)+64),CHAR(INT((COLUMN(CD59)-1)/26)+64)&amp;CHAR(MOD(COLUMN(CD59)-1,26)+65))&amp;$CK59&amp;""),"")</f>
        <v/>
      </c>
      <c r="CR59" s="77" t="str" cm="1">
        <f t="array" aca="1" ref="CR59" ca="1">IF($CK59&lt;&gt;"",
INDIRECT(""&amp;IF(COLUMN(CE59)&lt;=26,CHAR(COLUMN(CE59)+64),CHAR(INT((COLUMN(CE59)-1)/26)+64)&amp;CHAR(MOD(COLUMN(CE59)-1,26)+65))&amp;$CK59&amp;""),"")</f>
        <v/>
      </c>
      <c r="CS59" s="77" t="str" cm="1">
        <f t="array" aca="1" ref="CS59" ca="1">IF($CK59&lt;&gt;"",
INDIRECT(""&amp;IF(COLUMN(CF59)&lt;=26,CHAR(COLUMN(CF59)+64),CHAR(INT((COLUMN(CF59)-1)/26)+64)&amp;CHAR(MOD(COLUMN(CF59)-1,26)+65))&amp;$CK59&amp;""),"")</f>
        <v/>
      </c>
      <c r="CT59" s="77" t="str" cm="1">
        <f t="array" aca="1" ref="CT59" ca="1">IF($CK59&lt;&gt;"",
INDIRECT(""&amp;IF(COLUMN(CG59)&lt;=26,CHAR(COLUMN(CG59)+64),CHAR(INT((COLUMN(CG59)-1)/26)+64)&amp;CHAR(MOD(COLUMN(CG59)-1,26)+65))&amp;$CK59&amp;""),"")</f>
        <v/>
      </c>
      <c r="CU59" s="77" t="str" cm="1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1"/>
      <c r="C60" s="9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91"/>
      <c r="E60" s="9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91"/>
      <c r="G60" s="101"/>
      <c r="I60" s="11"/>
      <c r="J60" s="9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91"/>
      <c r="L60" s="9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91"/>
      <c r="N60" s="101"/>
      <c r="Q60" s="11"/>
      <c r="R60" s="9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91"/>
      <c r="T60" s="9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91"/>
      <c r="V60" s="101"/>
      <c r="X60" s="11"/>
      <c r="Y60" s="9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91"/>
      <c r="AA60" s="9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91"/>
      <c r="AC60" s="101"/>
      <c r="AF60" s="11"/>
      <c r="AG60" s="9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91"/>
      <c r="AI60" s="9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91"/>
      <c r="AK60" s="101"/>
      <c r="AM60" s="11"/>
      <c r="AN60" s="9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91"/>
      <c r="AP60" s="9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91"/>
      <c r="AR60" s="101"/>
      <c r="AU60" s="11"/>
      <c r="AV60" s="9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91"/>
      <c r="AX60" s="9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91"/>
      <c r="AZ60" s="101"/>
      <c r="BB60" s="11"/>
      <c r="BC60" s="9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91"/>
      <c r="BE60" s="9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91"/>
      <c r="BG60" s="101"/>
      <c r="BJ60" s="11"/>
      <c r="BK60" s="9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91"/>
      <c r="BM60" s="9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91"/>
      <c r="BO60" s="101"/>
      <c r="BQ60" s="11"/>
      <c r="BR60" s="9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91"/>
      <c r="BT60" s="9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91"/>
      <c r="BV60" s="101"/>
      <c r="BX60" s="77">
        <f>BX56+7</f>
        <v>56</v>
      </c>
      <c r="BY60" s="77" t="str" cm="1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77" t="str" cm="1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77" t="str" cm="1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77" t="str" cm="1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77" t="str" cm="1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77" t="str" cm="1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77" t="str" cm="1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77" t="str" cm="1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77" t="str" cm="1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77" t="str" cm="1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77">
        <f t="shared" ca="1" si="0"/>
        <v>0</v>
      </c>
      <c r="CJ60" s="77" t="b" cm="1">
        <f t="array" aca="1" ref="CJ60" ca="1">SUMPRODUCT((LEN(BY60:CH60)&gt;0)*1)&gt;0</f>
        <v>0</v>
      </c>
      <c r="CK60" s="77" t="str">
        <f t="array" aca="1" ref="CK60" ca="1">IFERROR(SMALL(IF(CI$1:CI$100&lt;&gt;0,CI$1:CI$100),ROW(A60)),"")</f>
        <v/>
      </c>
      <c r="CL60" s="77" t="str" cm="1">
        <f t="array" aca="1" ref="CL60" ca="1">IF($CK60&lt;&gt;"",
INDIRECT(""&amp;IF(COLUMN(BY60)&lt;=26,CHAR(COLUMN(BY60)+64),CHAR(INT((COLUMN(BY60)-1)/26)+64)&amp;CHAR(MOD(COLUMN(BY60)-1,26)+65))&amp;$CK60&amp;""),"")</f>
        <v/>
      </c>
      <c r="CM60" s="77" t="str" cm="1">
        <f t="array" aca="1" ref="CM60" ca="1">IF($CK60&lt;&gt;"",
INDIRECT(""&amp;IF(COLUMN(BZ60)&lt;=26,CHAR(COLUMN(BZ60)+64),CHAR(INT((COLUMN(BZ60)-1)/26)+64)&amp;CHAR(MOD(COLUMN(BZ60)-1,26)+65))&amp;$CK60&amp;""),"")</f>
        <v/>
      </c>
      <c r="CN60" s="77" t="str" cm="1">
        <f t="array" aca="1" ref="CN60" ca="1">IF($CK60&lt;&gt;"",
INDIRECT(""&amp;IF(COLUMN(CA60)&lt;=26,CHAR(COLUMN(CA60)+64),CHAR(INT((COLUMN(CA60)-1)/26)+64)&amp;CHAR(MOD(COLUMN(CA60)-1,26)+65))&amp;$CK60&amp;""),"")</f>
        <v/>
      </c>
      <c r="CO60" s="77" t="str" cm="1">
        <f t="array" aca="1" ref="CO60" ca="1">IF($CK60&lt;&gt;"",
INDIRECT(""&amp;IF(COLUMN(CB60)&lt;=26,CHAR(COLUMN(CB60)+64),CHAR(INT((COLUMN(CB60)-1)/26)+64)&amp;CHAR(MOD(COLUMN(CB60)-1,26)+65))&amp;$CK60&amp;""),"")</f>
        <v/>
      </c>
      <c r="CP60" s="77" t="str" cm="1">
        <f t="array" aca="1" ref="CP60" ca="1">IF($CK60&lt;&gt;"",
INDIRECT(""&amp;IF(COLUMN(CC60)&lt;=26,CHAR(COLUMN(CC60)+64),CHAR(INT((COLUMN(CC60)-1)/26)+64)&amp;CHAR(MOD(COLUMN(CC60)-1,26)+65))&amp;$CK60&amp;""),"")</f>
        <v/>
      </c>
      <c r="CQ60" s="77" t="str" cm="1">
        <f t="array" aca="1" ref="CQ60" ca="1">IF($CK60&lt;&gt;"",
INDIRECT(""&amp;IF(COLUMN(CD60)&lt;=26,CHAR(COLUMN(CD60)+64),CHAR(INT((COLUMN(CD60)-1)/26)+64)&amp;CHAR(MOD(COLUMN(CD60)-1,26)+65))&amp;$CK60&amp;""),"")</f>
        <v/>
      </c>
      <c r="CR60" s="77" t="str" cm="1">
        <f t="array" aca="1" ref="CR60" ca="1">IF($CK60&lt;&gt;"",
INDIRECT(""&amp;IF(COLUMN(CE60)&lt;=26,CHAR(COLUMN(CE60)+64),CHAR(INT((COLUMN(CE60)-1)/26)+64)&amp;CHAR(MOD(COLUMN(CE60)-1,26)+65))&amp;$CK60&amp;""),"")</f>
        <v/>
      </c>
      <c r="CS60" s="77" t="str" cm="1">
        <f t="array" aca="1" ref="CS60" ca="1">IF($CK60&lt;&gt;"",
INDIRECT(""&amp;IF(COLUMN(CF60)&lt;=26,CHAR(COLUMN(CF60)+64),CHAR(INT((COLUMN(CF60)-1)/26)+64)&amp;CHAR(MOD(COLUMN(CF60)-1,26)+65))&amp;$CK60&amp;""),"")</f>
        <v/>
      </c>
      <c r="CT60" s="77" t="str" cm="1">
        <f t="array" aca="1" ref="CT60" ca="1">IF($CK60&lt;&gt;"",
INDIRECT(""&amp;IF(COLUMN(CG60)&lt;=26,CHAR(COLUMN(CG60)+64),CHAR(INT((COLUMN(CG60)-1)/26)+64)&amp;CHAR(MOD(COLUMN(CG60)-1,26)+65))&amp;$CK60&amp;""),"")</f>
        <v/>
      </c>
      <c r="CU60" s="77" t="str" cm="1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8"/>
      <c r="C61" s="92"/>
      <c r="D61" s="92"/>
      <c r="E61" s="92"/>
      <c r="F61" s="92"/>
      <c r="G61" s="102"/>
      <c r="I61" s="8"/>
      <c r="J61" s="92"/>
      <c r="K61" s="92"/>
      <c r="L61" s="92"/>
      <c r="M61" s="92"/>
      <c r="N61" s="102"/>
      <c r="Q61" s="8"/>
      <c r="R61" s="92"/>
      <c r="S61" s="92"/>
      <c r="T61" s="92"/>
      <c r="U61" s="92"/>
      <c r="V61" s="102"/>
      <c r="X61" s="8"/>
      <c r="Y61" s="92"/>
      <c r="Z61" s="92"/>
      <c r="AA61" s="92"/>
      <c r="AB61" s="92"/>
      <c r="AC61" s="102"/>
      <c r="AF61" s="8"/>
      <c r="AG61" s="92"/>
      <c r="AH61" s="92"/>
      <c r="AI61" s="92"/>
      <c r="AJ61" s="92"/>
      <c r="AK61" s="102"/>
      <c r="AM61" s="8"/>
      <c r="AN61" s="92"/>
      <c r="AO61" s="92"/>
      <c r="AP61" s="92"/>
      <c r="AQ61" s="92"/>
      <c r="AR61" s="102"/>
      <c r="AU61" s="8"/>
      <c r="AV61" s="92"/>
      <c r="AW61" s="92"/>
      <c r="AX61" s="92"/>
      <c r="AY61" s="92"/>
      <c r="AZ61" s="102"/>
      <c r="BB61" s="8"/>
      <c r="BC61" s="92"/>
      <c r="BD61" s="92"/>
      <c r="BE61" s="92"/>
      <c r="BF61" s="92"/>
      <c r="BG61" s="102"/>
      <c r="BJ61" s="8"/>
      <c r="BK61" s="92"/>
      <c r="BL61" s="92"/>
      <c r="BM61" s="92"/>
      <c r="BN61" s="92"/>
      <c r="BO61" s="102"/>
      <c r="BQ61" s="8"/>
      <c r="BR61" s="92"/>
      <c r="BS61" s="92"/>
      <c r="BT61" s="92"/>
      <c r="BU61" s="92"/>
      <c r="BV61" s="102"/>
      <c r="BX61" s="77">
        <f>BX57+7</f>
        <v>21</v>
      </c>
      <c r="BY61" s="77" t="str" cm="1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77" t="str" cm="1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77" t="str" cm="1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77" t="str" cm="1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77" t="str" cm="1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77" t="str" cm="1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77" t="str" cm="1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77" t="str" cm="1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77" t="str" cm="1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77" t="str" cm="1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77">
        <f t="shared" ca="1" si="0"/>
        <v>0</v>
      </c>
      <c r="CJ61" s="77" t="b" cm="1">
        <f t="array" aca="1" ref="CJ61" ca="1">SUMPRODUCT((LEN(BY61:CH61)&gt;0)*1)&gt;0</f>
        <v>0</v>
      </c>
      <c r="CK61" s="77" t="str">
        <f t="array" aca="1" ref="CK61" ca="1">IFERROR(SMALL(IF(CI$1:CI$100&lt;&gt;0,CI$1:CI$100),ROW(A61)),"")</f>
        <v/>
      </c>
      <c r="CL61" s="77" t="str" cm="1">
        <f t="array" aca="1" ref="CL61" ca="1">IF($CK61&lt;&gt;"",
INDIRECT(""&amp;IF(COLUMN(BY61)&lt;=26,CHAR(COLUMN(BY61)+64),CHAR(INT((COLUMN(BY61)-1)/26)+64)&amp;CHAR(MOD(COLUMN(BY61)-1,26)+65))&amp;$CK61&amp;""),"")</f>
        <v/>
      </c>
      <c r="CM61" s="77" t="str" cm="1">
        <f t="array" aca="1" ref="CM61" ca="1">IF($CK61&lt;&gt;"",
INDIRECT(""&amp;IF(COLUMN(BZ61)&lt;=26,CHAR(COLUMN(BZ61)+64),CHAR(INT((COLUMN(BZ61)-1)/26)+64)&amp;CHAR(MOD(COLUMN(BZ61)-1,26)+65))&amp;$CK61&amp;""),"")</f>
        <v/>
      </c>
      <c r="CN61" s="77" t="str" cm="1">
        <f t="array" aca="1" ref="CN61" ca="1">IF($CK61&lt;&gt;"",
INDIRECT(""&amp;IF(COLUMN(CA61)&lt;=26,CHAR(COLUMN(CA61)+64),CHAR(INT((COLUMN(CA61)-1)/26)+64)&amp;CHAR(MOD(COLUMN(CA61)-1,26)+65))&amp;$CK61&amp;""),"")</f>
        <v/>
      </c>
      <c r="CO61" s="77" t="str" cm="1">
        <f t="array" aca="1" ref="CO61" ca="1">IF($CK61&lt;&gt;"",
INDIRECT(""&amp;IF(COLUMN(CB61)&lt;=26,CHAR(COLUMN(CB61)+64),CHAR(INT((COLUMN(CB61)-1)/26)+64)&amp;CHAR(MOD(COLUMN(CB61)-1,26)+65))&amp;$CK61&amp;""),"")</f>
        <v/>
      </c>
      <c r="CP61" s="77" t="str" cm="1">
        <f t="array" aca="1" ref="CP61" ca="1">IF($CK61&lt;&gt;"",
INDIRECT(""&amp;IF(COLUMN(CC61)&lt;=26,CHAR(COLUMN(CC61)+64),CHAR(INT((COLUMN(CC61)-1)/26)+64)&amp;CHAR(MOD(COLUMN(CC61)-1,26)+65))&amp;$CK61&amp;""),"")</f>
        <v/>
      </c>
      <c r="CQ61" s="77" t="str" cm="1">
        <f t="array" aca="1" ref="CQ61" ca="1">IF($CK61&lt;&gt;"",
INDIRECT(""&amp;IF(COLUMN(CD61)&lt;=26,CHAR(COLUMN(CD61)+64),CHAR(INT((COLUMN(CD61)-1)/26)+64)&amp;CHAR(MOD(COLUMN(CD61)-1,26)+65))&amp;$CK61&amp;""),"")</f>
        <v/>
      </c>
      <c r="CR61" s="77" t="str" cm="1">
        <f t="array" aca="1" ref="CR61" ca="1">IF($CK61&lt;&gt;"",
INDIRECT(""&amp;IF(COLUMN(CE61)&lt;=26,CHAR(COLUMN(CE61)+64),CHAR(INT((COLUMN(CE61)-1)/26)+64)&amp;CHAR(MOD(COLUMN(CE61)-1,26)+65))&amp;$CK61&amp;""),"")</f>
        <v/>
      </c>
      <c r="CS61" s="77" t="str" cm="1">
        <f t="array" aca="1" ref="CS61" ca="1">IF($CK61&lt;&gt;"",
INDIRECT(""&amp;IF(COLUMN(CF61)&lt;=26,CHAR(COLUMN(CF61)+64),CHAR(INT((COLUMN(CF61)-1)/26)+64)&amp;CHAR(MOD(COLUMN(CF61)-1,26)+65))&amp;$CK61&amp;""),"")</f>
        <v/>
      </c>
      <c r="CT61" s="77" t="str" cm="1">
        <f t="array" aca="1" ref="CT61" ca="1">IF($CK61&lt;&gt;"",
INDIRECT(""&amp;IF(COLUMN(CG61)&lt;=26,CHAR(COLUMN(CG61)+64),CHAR(INT((COLUMN(CG61)-1)/26)+64)&amp;CHAR(MOD(COLUMN(CG61)-1,26)+65))&amp;$CK61&amp;""),"")</f>
        <v/>
      </c>
      <c r="CU61" s="77" t="str" cm="1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77" customFormat="1" ht="22.2" x14ac:dyDescent="0.55000000000000004">
      <c r="A62" s="53"/>
      <c r="B62" s="84" t="str">
        <f ca="1">IF(C60&lt;&gt;"","パン箱","")</f>
        <v/>
      </c>
      <c r="C62" s="82" t="str">
        <f ca="1">IF(C60&lt;&gt;"",IF(OR(COUNTIF('盛付札（関数）'!C58,"*キャラ*"),COUNTIF('盛付札（関数）'!C58,"*赤*")),24,
VLOOKUP('盛付札（関数）'!C58,商品マスタ一覧!$D:$I,6,FALSE)),"")</f>
        <v/>
      </c>
      <c r="D62" s="84" t="str">
        <f ca="1">IF(C60&lt;&gt;"","　端数","")</f>
        <v/>
      </c>
      <c r="E62" s="82"/>
      <c r="F62" s="84" t="str">
        <f ca="1">IF(C60&lt;&gt;"","アレルギー","")</f>
        <v/>
      </c>
      <c r="G62" s="101"/>
      <c r="H62" s="53"/>
      <c r="I62" s="84" t="str">
        <f ca="1">IF(J60&lt;&gt;"","パン箱","")</f>
        <v/>
      </c>
      <c r="J62" s="82" t="str">
        <f ca="1">IF(J60&lt;&gt;"",IF(OR(COUNTIF('盛付札（関数）'!J58,"*キャラ*"),COUNTIF('盛付札（関数）'!J58,"*赤*")),24,
VLOOKUP('盛付札（関数）'!J58,商品マスタ一覧!$D:$I,6,FALSE)),"")</f>
        <v/>
      </c>
      <c r="K62" s="84" t="str">
        <f ca="1">IF(J60&lt;&gt;"","　端数","")</f>
        <v/>
      </c>
      <c r="L62" s="82"/>
      <c r="M62" s="84" t="str">
        <f ca="1">IF(J60&lt;&gt;"","アレルギー","")</f>
        <v/>
      </c>
      <c r="N62" s="101"/>
      <c r="O62" s="53"/>
      <c r="P62" s="53"/>
      <c r="Q62" s="84" t="str">
        <f ca="1">IF(R60&lt;&gt;"","パン箱","")</f>
        <v/>
      </c>
      <c r="R62" s="82" t="str">
        <f ca="1">IF(R60&lt;&gt;"",IF(OR(COUNTIF('盛付札（関数）'!R58,"*キャラ*"),COUNTIF('盛付札（関数）'!R58,"*赤*")),24,
VLOOKUP('盛付札（関数）'!R58,商品マスタ一覧!$D:$I,6,FALSE)),"")</f>
        <v/>
      </c>
      <c r="S62" s="84" t="str">
        <f ca="1">IF(R60&lt;&gt;"","　端数","")</f>
        <v/>
      </c>
      <c r="T62" s="82"/>
      <c r="U62" s="84" t="str">
        <f ca="1">IF(R60&lt;&gt;"","アレルギー","")</f>
        <v/>
      </c>
      <c r="V62" s="101"/>
      <c r="W62" s="53"/>
      <c r="X62" s="84" t="str">
        <f ca="1">IF(Y60&lt;&gt;"","パン箱","")</f>
        <v/>
      </c>
      <c r="Y62" s="82" t="str">
        <f ca="1">IF(Y60&lt;&gt;"",IF(OR(COUNTIF('盛付札（関数）'!Y58,"*キャラ*"),COUNTIF('盛付札（関数）'!Y58,"*赤*")),24,
VLOOKUP('盛付札（関数）'!Y58,商品マスタ一覧!$D:$I,6,FALSE)),"")</f>
        <v/>
      </c>
      <c r="Z62" s="84" t="str">
        <f ca="1">IF(Y60&lt;&gt;"","　端数","")</f>
        <v/>
      </c>
      <c r="AA62" s="82"/>
      <c r="AB62" s="84" t="str">
        <f ca="1">IF(Y60&lt;&gt;"","アレルギー","")</f>
        <v/>
      </c>
      <c r="AC62" s="101"/>
      <c r="AD62" s="53"/>
      <c r="AE62" s="53"/>
      <c r="AF62" s="84" t="str">
        <f ca="1">IF(AG60&lt;&gt;"","パン箱","")</f>
        <v/>
      </c>
      <c r="AG62" s="82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84" t="str">
        <f ca="1">IF(AG60&lt;&gt;"","　端数","")</f>
        <v/>
      </c>
      <c r="AI62" s="82"/>
      <c r="AJ62" s="84" t="str">
        <f ca="1">IF(AG60&lt;&gt;"","アレルギー","")</f>
        <v/>
      </c>
      <c r="AK62" s="101"/>
      <c r="AL62" s="53"/>
      <c r="AM62" s="84" t="str">
        <f ca="1">IF(AN60&lt;&gt;"","パン箱","")</f>
        <v/>
      </c>
      <c r="AN62" s="82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84" t="str">
        <f ca="1">IF(AN60&lt;&gt;"","　端数","")</f>
        <v/>
      </c>
      <c r="AP62" s="82"/>
      <c r="AQ62" s="84" t="str">
        <f ca="1">IF(AN60&lt;&gt;"","アレルギー","")</f>
        <v/>
      </c>
      <c r="AR62" s="101"/>
      <c r="AS62" s="53"/>
      <c r="AT62" s="53"/>
      <c r="AU62" s="84" t="str">
        <f ca="1">IF(AV60&lt;&gt;"","パン箱","")</f>
        <v/>
      </c>
      <c r="AV62" s="82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84" t="str">
        <f ca="1">IF(AV60&lt;&gt;"","　端数","")</f>
        <v/>
      </c>
      <c r="AX62" s="82"/>
      <c r="AY62" s="84" t="str">
        <f ca="1">IF(AV60&lt;&gt;"","アレルギー","")</f>
        <v/>
      </c>
      <c r="AZ62" s="101"/>
      <c r="BA62" s="53"/>
      <c r="BB62" s="84" t="str">
        <f ca="1">IF(BC60&lt;&gt;"","パン箱","")</f>
        <v/>
      </c>
      <c r="BC62" s="82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84" t="str">
        <f ca="1">IF(BC60&lt;&gt;"","　端数","")</f>
        <v/>
      </c>
      <c r="BE62" s="82"/>
      <c r="BF62" s="84" t="str">
        <f ca="1">IF(BC60&lt;&gt;"","アレルギー","")</f>
        <v/>
      </c>
      <c r="BG62" s="101"/>
      <c r="BH62" s="53"/>
      <c r="BI62" s="53"/>
      <c r="BJ62" s="84" t="str">
        <f ca="1">IF(BK60&lt;&gt;"","パン箱","")</f>
        <v/>
      </c>
      <c r="BK62" s="82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84" t="str">
        <f ca="1">IF(BK60&lt;&gt;"","　端数","")</f>
        <v/>
      </c>
      <c r="BM62" s="82"/>
      <c r="BN62" s="84" t="str">
        <f ca="1">IF(BK60&lt;&gt;"","アレルギー","")</f>
        <v/>
      </c>
      <c r="BO62" s="101"/>
      <c r="BP62" s="53"/>
      <c r="BQ62" s="84" t="str">
        <f ca="1">IF(BR60&lt;&gt;"","パン箱","")</f>
        <v/>
      </c>
      <c r="BR62" s="82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84" t="str">
        <f ca="1">IF(BR60&lt;&gt;"","　端数","")</f>
        <v/>
      </c>
      <c r="BT62" s="82"/>
      <c r="BU62" s="84" t="str">
        <f ca="1">IF(BR60&lt;&gt;"","アレルギー","")</f>
        <v/>
      </c>
      <c r="BV62" s="101"/>
      <c r="BW62" s="53"/>
      <c r="BX62" s="77">
        <f>BX58+7</f>
        <v>63</v>
      </c>
      <c r="BY62" s="77" t="str" cm="1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77" t="str" cm="1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77" t="str" cm="1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77" t="str" cm="1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77" t="str" cm="1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77" t="str" cm="1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77" t="str" cm="1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77" t="str" cm="1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77" t="str" cm="1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77" t="str" cm="1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77">
        <f t="shared" ca="1" si="0"/>
        <v>0</v>
      </c>
      <c r="CJ62" s="77" t="b" cm="1">
        <f t="array" aca="1" ref="CJ62" ca="1">SUMPRODUCT((LEN(BY62:CH62)&gt;0)*1)&gt;0</f>
        <v>0</v>
      </c>
      <c r="CK62" s="77" t="str">
        <f t="array" aca="1" ref="CK62" ca="1">IFERROR(SMALL(IF(CI$1:CI$100&lt;&gt;0,CI$1:CI$100),ROW(A62)),"")</f>
        <v/>
      </c>
      <c r="CL62" s="77" t="str" cm="1">
        <f t="array" aca="1" ref="CL62" ca="1">IF($CK62&lt;&gt;"",
INDIRECT(""&amp;IF(COLUMN(BY62)&lt;=26,CHAR(COLUMN(BY62)+64),CHAR(INT((COLUMN(BY62)-1)/26)+64)&amp;CHAR(MOD(COLUMN(BY62)-1,26)+65))&amp;$CK62&amp;""),"")</f>
        <v/>
      </c>
      <c r="CM62" s="77" t="str" cm="1">
        <f t="array" aca="1" ref="CM62" ca="1">IF($CK62&lt;&gt;"",
INDIRECT(""&amp;IF(COLUMN(BZ62)&lt;=26,CHAR(COLUMN(BZ62)+64),CHAR(INT((COLUMN(BZ62)-1)/26)+64)&amp;CHAR(MOD(COLUMN(BZ62)-1,26)+65))&amp;$CK62&amp;""),"")</f>
        <v/>
      </c>
      <c r="CN62" s="77" t="str" cm="1">
        <f t="array" aca="1" ref="CN62" ca="1">IF($CK62&lt;&gt;"",
INDIRECT(""&amp;IF(COLUMN(CA62)&lt;=26,CHAR(COLUMN(CA62)+64),CHAR(INT((COLUMN(CA62)-1)/26)+64)&amp;CHAR(MOD(COLUMN(CA62)-1,26)+65))&amp;$CK62&amp;""),"")</f>
        <v/>
      </c>
      <c r="CO62" s="77" t="str" cm="1">
        <f t="array" aca="1" ref="CO62" ca="1">IF($CK62&lt;&gt;"",
INDIRECT(""&amp;IF(COLUMN(CB62)&lt;=26,CHAR(COLUMN(CB62)+64),CHAR(INT((COLUMN(CB62)-1)/26)+64)&amp;CHAR(MOD(COLUMN(CB62)-1,26)+65))&amp;$CK62&amp;""),"")</f>
        <v/>
      </c>
      <c r="CP62" s="77" t="str" cm="1">
        <f t="array" aca="1" ref="CP62" ca="1">IF($CK62&lt;&gt;"",
INDIRECT(""&amp;IF(COLUMN(CC62)&lt;=26,CHAR(COLUMN(CC62)+64),CHAR(INT((COLUMN(CC62)-1)/26)+64)&amp;CHAR(MOD(COLUMN(CC62)-1,26)+65))&amp;$CK62&amp;""),"")</f>
        <v/>
      </c>
      <c r="CQ62" s="77" t="str" cm="1">
        <f t="array" aca="1" ref="CQ62" ca="1">IF($CK62&lt;&gt;"",
INDIRECT(""&amp;IF(COLUMN(CD62)&lt;=26,CHAR(COLUMN(CD62)+64),CHAR(INT((COLUMN(CD62)-1)/26)+64)&amp;CHAR(MOD(COLUMN(CD62)-1,26)+65))&amp;$CK62&amp;""),"")</f>
        <v/>
      </c>
      <c r="CR62" s="77" t="str" cm="1">
        <f t="array" aca="1" ref="CR62" ca="1">IF($CK62&lt;&gt;"",
INDIRECT(""&amp;IF(COLUMN(CE62)&lt;=26,CHAR(COLUMN(CE62)+64),CHAR(INT((COLUMN(CE62)-1)/26)+64)&amp;CHAR(MOD(COLUMN(CE62)-1,26)+65))&amp;$CK62&amp;""),"")</f>
        <v/>
      </c>
      <c r="CS62" s="77" t="str" cm="1">
        <f t="array" aca="1" ref="CS62" ca="1">IF($CK62&lt;&gt;"",
INDIRECT(""&amp;IF(COLUMN(CF62)&lt;=26,CHAR(COLUMN(CF62)+64),CHAR(INT((COLUMN(CF62)-1)/26)+64)&amp;CHAR(MOD(COLUMN(CF62)-1,26)+65))&amp;$CK62&amp;""),"")</f>
        <v/>
      </c>
      <c r="CT62" s="77" t="str" cm="1">
        <f t="array" aca="1" ref="CT62" ca="1">IF($CK62&lt;&gt;"",
INDIRECT(""&amp;IF(COLUMN(CG62)&lt;=26,CHAR(COLUMN(CG62)+64),CHAR(INT((COLUMN(CG62)-1)/26)+64)&amp;CHAR(MOD(COLUMN(CG62)-1,26)+65))&amp;$CK62&amp;""),"")</f>
        <v/>
      </c>
      <c r="CU62" s="77" t="str" cm="1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97" t="str">
        <f ca="1">IF(C60&lt;&gt;"",
IFERROR(INT(C60/C62),""),"")</f>
        <v/>
      </c>
      <c r="C63" s="95"/>
      <c r="D63" s="97" t="str">
        <f ca="1">IFERROR(MOD(C60,C62),"")</f>
        <v/>
      </c>
      <c r="E63" s="95"/>
      <c r="F63" s="98" t="str" cm="1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MATCH(C60,INDIRECT("'数出表_Excel（アレルギー入力）'!"&amp;B15-1&amp;":"&amp;B15-1&amp;""),0)-1),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MATCH(C60,INDIRECT("'数出表_Excel（アレルギー入力）'!"&amp;B15-1&amp;":"&amp;B15-1&amp;""),0)-1),
 "")="",0,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MATCH(C60,INDIRECT("'数出表_Excel（アレルギー入力）'!"&amp;B15-1&amp;":"&amp;B15-1&amp;""),0)-1),
 "")),0),"")</f>
        <v/>
      </c>
      <c r="G63" s="99"/>
      <c r="I63" s="97" t="str">
        <f ca="1">IF(J60&lt;&gt;"",
IFERROR(INT(J60/J62),""),"")</f>
        <v/>
      </c>
      <c r="J63" s="95"/>
      <c r="K63" s="97" t="str">
        <f ca="1">IFERROR(MOD(J60,J62),"")</f>
        <v/>
      </c>
      <c r="L63" s="95"/>
      <c r="M63" s="98" t="str" cm="1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MATCH(J60,INDIRECT("'数出表_Excel（アレルギー入力）'!"&amp;I15-1&amp;":"&amp;I15-1&amp;""),0)-1),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MATCH(J60,INDIRECT("'数出表_Excel（アレルギー入力）'!"&amp;I15-1&amp;":"&amp;I15-1&amp;""),0)-1),
 "")="",0,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MATCH(J60,INDIRECT("'数出表_Excel（アレルギー入力）'!"&amp;I15-1&amp;":"&amp;I15-1&amp;""),0)-1),
 "")),0),"")</f>
        <v/>
      </c>
      <c r="N63" s="99"/>
      <c r="Q63" s="97" t="str">
        <f ca="1">IF(R60&lt;&gt;"",
IFERROR(INT(R60/R62),""),"")</f>
        <v/>
      </c>
      <c r="R63" s="95"/>
      <c r="S63" s="97" t="str">
        <f ca="1">IFERROR(MOD(R60,R62),"")</f>
        <v/>
      </c>
      <c r="T63" s="95"/>
      <c r="U63" s="98" t="str" cm="1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MATCH(R60,INDIRECT("'数出表_Excel（アレルギー入力）'!"&amp;Q15-1&amp;":"&amp;Q15-1&amp;""),0)-1),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MATCH(R60,INDIRECT("'数出表_Excel（アレルギー入力）'!"&amp;Q15-1&amp;":"&amp;Q15-1&amp;""),0)-1),
 "")="",0,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MATCH(R60,INDIRECT("'数出表_Excel（アレルギー入力）'!"&amp;Q15-1&amp;":"&amp;Q15-1&amp;""),0)-1),
 "")),0),"")</f>
        <v/>
      </c>
      <c r="V63" s="99"/>
      <c r="X63" s="97" t="str">
        <f ca="1">IF(Y60&lt;&gt;"",
IFERROR(INT(Y60/Y62),""),"")</f>
        <v/>
      </c>
      <c r="Y63" s="95"/>
      <c r="Z63" s="97" t="str">
        <f ca="1">IFERROR(MOD(Y60,Y62),"")</f>
        <v/>
      </c>
      <c r="AA63" s="95"/>
      <c r="AB63" s="98" t="str" cm="1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MATCH(Y60,INDIRECT("'数出表_Excel（アレルギー入力）'!"&amp;X15-1&amp;":"&amp;X15-1&amp;""),0)-1),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MATCH(Y60,INDIRECT("'数出表_Excel（アレルギー入力）'!"&amp;X15-1&amp;":"&amp;X15-1&amp;""),0)-1),
 "")="",0,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MATCH(Y60,INDIRECT("'数出表_Excel（アレルギー入力）'!"&amp;X15-1&amp;":"&amp;X15-1&amp;""),0)-1),
 "")),0),"")</f>
        <v/>
      </c>
      <c r="AC63" s="99"/>
      <c r="AF63" s="97" t="str">
        <f ca="1">IF(AG60&lt;&gt;"",
IFERROR(INT(AG60/AG62),""),"")</f>
        <v/>
      </c>
      <c r="AG63" s="95"/>
      <c r="AH63" s="97" t="str">
        <f ca="1">IFERROR(MOD(AG60,AG62),"")</f>
        <v/>
      </c>
      <c r="AI63" s="95"/>
      <c r="AJ63" s="98" t="str" cm="1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MATCH(AG60,INDIRECT("'数出表_Excel（アレルギー入力）'!"&amp;AF15-1&amp;":"&amp;AF15-1&amp;""),0)-1),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MATCH(AG60,INDIRECT("'数出表_Excel（アレルギー入力）'!"&amp;AF15-1&amp;":"&amp;AF15-1&amp;""),0)-1),
 "")="",0,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MATCH(AG60,INDIRECT("'数出表_Excel（アレルギー入力）'!"&amp;AF15-1&amp;":"&amp;AF15-1&amp;""),0)-1),
 "")),0),"")</f>
        <v/>
      </c>
      <c r="AK63" s="99"/>
      <c r="AM63" s="97" t="str">
        <f ca="1">IF(AN60&lt;&gt;"",
IFERROR(INT(AN60/AN62),""),"")</f>
        <v/>
      </c>
      <c r="AN63" s="95"/>
      <c r="AO63" s="97" t="str">
        <f ca="1">IFERROR(MOD(AN60,AN62),"")</f>
        <v/>
      </c>
      <c r="AP63" s="95"/>
      <c r="AQ63" s="98" t="str" cm="1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MATCH(AN60,INDIRECT("'数出表_Excel（アレルギー入力）'!"&amp;AM15-1&amp;":"&amp;AM15-1&amp;""),0)-1),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MATCH(AN60,INDIRECT("'数出表_Excel（アレルギー入力）'!"&amp;AM15-1&amp;":"&amp;AM15-1&amp;""),0)-1),
 "")="",0,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MATCH(AN60,INDIRECT("'数出表_Excel（アレルギー入力）'!"&amp;AM15-1&amp;":"&amp;AM15-1&amp;""),0)-1),
 "")),0),"")</f>
        <v/>
      </c>
      <c r="AR63" s="99"/>
      <c r="AU63" s="97" t="str">
        <f ca="1">IF(AV60&lt;&gt;"",
IFERROR(INT(AV60/AV62),""),"")</f>
        <v/>
      </c>
      <c r="AV63" s="95"/>
      <c r="AW63" s="97" t="str">
        <f ca="1">IFERROR(MOD(AV60,AV62),"")</f>
        <v/>
      </c>
      <c r="AX63" s="95"/>
      <c r="AY63" s="98" t="str" cm="1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MATCH(AV60,INDIRECT("'数出表_Excel（アレルギー入力）'!"&amp;AU15-1&amp;":"&amp;AU15-1&amp;""),0)-1),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MATCH(AV60,INDIRECT("'数出表_Excel（アレルギー入力）'!"&amp;AU15-1&amp;":"&amp;AU15-1&amp;""),0)-1),
 "")="",0,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MATCH(AV60,INDIRECT("'数出表_Excel（アレルギー入力）'!"&amp;AU15-1&amp;":"&amp;AU15-1&amp;""),0)-1),
 "")),0),"")</f>
        <v/>
      </c>
      <c r="AZ63" s="99"/>
      <c r="BB63" s="97" t="str">
        <f ca="1">IF(BC60&lt;&gt;"",
IFERROR(INT(BC60/BC62),""),"")</f>
        <v/>
      </c>
      <c r="BC63" s="95"/>
      <c r="BD63" s="97" t="str">
        <f ca="1">IFERROR(MOD(BC60,BC62),"")</f>
        <v/>
      </c>
      <c r="BE63" s="95"/>
      <c r="BF63" s="98" t="str" cm="1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MATCH(BC60,INDIRECT("'数出表_Excel（アレルギー入力）'!"&amp;BB15-1&amp;":"&amp;BB15-1&amp;""),0)-1),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MATCH(BC60,INDIRECT("'数出表_Excel（アレルギー入力）'!"&amp;BB15-1&amp;":"&amp;BB15-1&amp;""),0)-1),
 "")="",0,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MATCH(BC60,INDIRECT("'数出表_Excel（アレルギー入力）'!"&amp;BB15-1&amp;":"&amp;BB15-1&amp;""),0)-1),
 "")),0),"")</f>
        <v/>
      </c>
      <c r="BG63" s="99"/>
      <c r="BJ63" s="97" t="str">
        <f ca="1">IF(BK60&lt;&gt;"",
IFERROR(INT(BK60/BK62),""),"")</f>
        <v/>
      </c>
      <c r="BK63" s="95"/>
      <c r="BL63" s="97" t="str">
        <f ca="1">IFERROR(MOD(BK60,BK62),"")</f>
        <v/>
      </c>
      <c r="BM63" s="95"/>
      <c r="BN63" s="98" t="str" cm="1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MATCH(BK60,INDIRECT("'数出表_Excel（アレルギー入力）'!"&amp;BJ15-1&amp;":"&amp;BJ15-1&amp;""),0)-1),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MATCH(BK60,INDIRECT("'数出表_Excel（アレルギー入力）'!"&amp;BJ15-1&amp;":"&amp;BJ15-1&amp;""),0)-1),
 "")="",0,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MATCH(BK60,INDIRECT("'数出表_Excel（アレルギー入力）'!"&amp;BJ15-1&amp;":"&amp;BJ15-1&amp;""),0)-1),
 "")),0),"")</f>
        <v/>
      </c>
      <c r="BO63" s="99"/>
      <c r="BQ63" s="97" t="str">
        <f ca="1">IF(BR60&lt;&gt;"",
IFERROR(INT(BR60/BR62),""),"")</f>
        <v/>
      </c>
      <c r="BR63" s="95"/>
      <c r="BS63" s="97" t="str">
        <f ca="1">IFERROR(MOD(BR60,BR62),"")</f>
        <v/>
      </c>
      <c r="BT63" s="95"/>
      <c r="BU63" s="98" t="str" cm="1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MATCH(BR60,INDIRECT("'数出表_Excel（アレルギー入力）'!"&amp;BQ15-1&amp;":"&amp;BQ15-1&amp;""),0)-1),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MATCH(BR60,INDIRECT("'数出表_Excel（アレルギー入力）'!"&amp;BQ15-1&amp;":"&amp;BQ15-1&amp;""),0)-1),
 "")="",0,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MATCH(BR60,INDIRECT("'数出表_Excel（アレルギー入力）'!"&amp;BQ15-1&amp;":"&amp;BQ15-1&amp;""),0)-1),
 "")),0),"")</f>
        <v/>
      </c>
      <c r="BV63" s="99"/>
      <c r="BX63">
        <f>BX59+7</f>
        <v>21</v>
      </c>
      <c r="BY63" s="77" t="str" cm="1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77" t="str" cm="1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77" t="str" cm="1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77" t="str" cm="1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77" t="str" cm="1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77" t="str" cm="1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77" t="str" cm="1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77" t="str" cm="1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77" t="str" cm="1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77" t="str" cm="1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77">
        <f t="shared" ca="1" si="0"/>
        <v>0</v>
      </c>
      <c r="CJ63" s="77" t="b" cm="1">
        <f t="array" aca="1" ref="CJ63" ca="1">SUMPRODUCT((LEN(BY63:CH63)&gt;0)*1)&gt;0</f>
        <v>0</v>
      </c>
      <c r="CK63" s="77" t="str">
        <f t="array" aca="1" ref="CK63" ca="1">IFERROR(SMALL(IF(CI$1:CI$100&lt;&gt;0,CI$1:CI$100),ROW(A63)),"")</f>
        <v/>
      </c>
      <c r="CL63" s="77" t="str" cm="1">
        <f t="array" aca="1" ref="CL63" ca="1">IF($CK63&lt;&gt;"",
INDIRECT(""&amp;IF(COLUMN(BY63)&lt;=26,CHAR(COLUMN(BY63)+64),CHAR(INT((COLUMN(BY63)-1)/26)+64)&amp;CHAR(MOD(COLUMN(BY63)-1,26)+65))&amp;$CK63&amp;""),"")</f>
        <v/>
      </c>
      <c r="CM63" s="77" t="str" cm="1">
        <f t="array" aca="1" ref="CM63" ca="1">IF($CK63&lt;&gt;"",
INDIRECT(""&amp;IF(COLUMN(BZ63)&lt;=26,CHAR(COLUMN(BZ63)+64),CHAR(INT((COLUMN(BZ63)-1)/26)+64)&amp;CHAR(MOD(COLUMN(BZ63)-1,26)+65))&amp;$CK63&amp;""),"")</f>
        <v/>
      </c>
      <c r="CN63" s="77" t="str" cm="1">
        <f t="array" aca="1" ref="CN63" ca="1">IF($CK63&lt;&gt;"",
INDIRECT(""&amp;IF(COLUMN(CA63)&lt;=26,CHAR(COLUMN(CA63)+64),CHAR(INT((COLUMN(CA63)-1)/26)+64)&amp;CHAR(MOD(COLUMN(CA63)-1,26)+65))&amp;$CK63&amp;""),"")</f>
        <v/>
      </c>
      <c r="CO63" s="77" t="str" cm="1">
        <f t="array" aca="1" ref="CO63" ca="1">IF($CK63&lt;&gt;"",
INDIRECT(""&amp;IF(COLUMN(CB63)&lt;=26,CHAR(COLUMN(CB63)+64),CHAR(INT((COLUMN(CB63)-1)/26)+64)&amp;CHAR(MOD(COLUMN(CB63)-1,26)+65))&amp;$CK63&amp;""),"")</f>
        <v/>
      </c>
      <c r="CP63" s="77" t="str" cm="1">
        <f t="array" aca="1" ref="CP63" ca="1">IF($CK63&lt;&gt;"",
INDIRECT(""&amp;IF(COLUMN(CC63)&lt;=26,CHAR(COLUMN(CC63)+64),CHAR(INT((COLUMN(CC63)-1)/26)+64)&amp;CHAR(MOD(COLUMN(CC63)-1,26)+65))&amp;$CK63&amp;""),"")</f>
        <v/>
      </c>
      <c r="CQ63" s="77" t="str" cm="1">
        <f t="array" aca="1" ref="CQ63" ca="1">IF($CK63&lt;&gt;"",
INDIRECT(""&amp;IF(COLUMN(CD63)&lt;=26,CHAR(COLUMN(CD63)+64),CHAR(INT((COLUMN(CD63)-1)/26)+64)&amp;CHAR(MOD(COLUMN(CD63)-1,26)+65))&amp;$CK63&amp;""),"")</f>
        <v/>
      </c>
      <c r="CR63" s="77" t="str" cm="1">
        <f t="array" aca="1" ref="CR63" ca="1">IF($CK63&lt;&gt;"",
INDIRECT(""&amp;IF(COLUMN(CE63)&lt;=26,CHAR(COLUMN(CE63)+64),CHAR(INT((COLUMN(CE63)-1)/26)+64)&amp;CHAR(MOD(COLUMN(CE63)-1,26)+65))&amp;$CK63&amp;""),"")</f>
        <v/>
      </c>
      <c r="CS63" s="77" t="str" cm="1">
        <f t="array" aca="1" ref="CS63" ca="1">IF($CK63&lt;&gt;"",
INDIRECT(""&amp;IF(COLUMN(CF63)&lt;=26,CHAR(COLUMN(CF63)+64),CHAR(INT((COLUMN(CF63)-1)/26)+64)&amp;CHAR(MOD(COLUMN(CF63)-1,26)+65))&amp;$CK63&amp;""),"")</f>
        <v/>
      </c>
      <c r="CT63" s="77" t="str" cm="1">
        <f t="array" aca="1" ref="CT63" ca="1">IF($CK63&lt;&gt;"",
INDIRECT(""&amp;IF(COLUMN(CG63)&lt;=26,CHAR(COLUMN(CG63)+64),CHAR(INT((COLUMN(CG63)-1)/26)+64)&amp;CHAR(MOD(COLUMN(CG63)-1,26)+65))&amp;$CK63&amp;""),"")</f>
        <v/>
      </c>
      <c r="CU63" s="77" t="str" cm="1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77" customFormat="1" ht="18" customHeight="1" x14ac:dyDescent="0.55000000000000004">
      <c r="A64" s="53"/>
      <c r="B64" s="76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88" t="str">
        <f ca="1">IF(C67&lt;&gt;"",C22,"")</f>
        <v/>
      </c>
      <c r="D64" s="89"/>
      <c r="E64" s="89"/>
      <c r="F64" s="89"/>
      <c r="G64" s="103"/>
      <c r="H64" s="53"/>
      <c r="I64" s="76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88" t="str">
        <f ca="1">IF(J67&lt;&gt;"",J22,"")</f>
        <v/>
      </c>
      <c r="K64" s="89"/>
      <c r="L64" s="89"/>
      <c r="M64" s="89"/>
      <c r="N64" s="103"/>
      <c r="O64" s="53"/>
      <c r="P64" s="53"/>
      <c r="Q64" s="76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88" t="str">
        <f ca="1">IF(R67&lt;&gt;"",R22,"")</f>
        <v/>
      </c>
      <c r="S64" s="89"/>
      <c r="T64" s="89"/>
      <c r="U64" s="89"/>
      <c r="V64" s="103"/>
      <c r="W64" s="53"/>
      <c r="X64" s="76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88" t="str">
        <f ca="1">IF(Y67&lt;&gt;"",Y22,"")</f>
        <v/>
      </c>
      <c r="Z64" s="89"/>
      <c r="AA64" s="89"/>
      <c r="AB64" s="89"/>
      <c r="AC64" s="103"/>
      <c r="AD64" s="53"/>
      <c r="AE64" s="53"/>
      <c r="AF64" s="76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88" t="str">
        <f ca="1">IF(AG67&lt;&gt;"",AG22,"")</f>
        <v/>
      </c>
      <c r="AH64" s="89"/>
      <c r="AI64" s="89"/>
      <c r="AJ64" s="89"/>
      <c r="AK64" s="103"/>
      <c r="AL64" s="53"/>
      <c r="AM64" s="76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88" t="str">
        <f ca="1">IF(AN67&lt;&gt;"",AN22,"")</f>
        <v/>
      </c>
      <c r="AO64" s="89"/>
      <c r="AP64" s="89"/>
      <c r="AQ64" s="89"/>
      <c r="AR64" s="103"/>
      <c r="AS64" s="53"/>
      <c r="AT64" s="53"/>
      <c r="AU64" s="76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88" t="str">
        <f ca="1">IF(AV67&lt;&gt;"",AV22,"")</f>
        <v/>
      </c>
      <c r="AW64" s="89"/>
      <c r="AX64" s="89"/>
      <c r="AY64" s="89"/>
      <c r="AZ64" s="103"/>
      <c r="BA64" s="53"/>
      <c r="BB64" s="76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88" t="str">
        <f ca="1">IF(BC67&lt;&gt;"",BC22,"")</f>
        <v/>
      </c>
      <c r="BD64" s="89"/>
      <c r="BE64" s="89"/>
      <c r="BF64" s="89"/>
      <c r="BG64" s="103"/>
      <c r="BH64" s="53"/>
      <c r="BI64" s="53"/>
      <c r="BJ64" s="76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88" t="str">
        <f ca="1">IF(BK67&lt;&gt;"",BK22,"")</f>
        <v/>
      </c>
      <c r="BL64" s="89"/>
      <c r="BM64" s="89"/>
      <c r="BN64" s="89"/>
      <c r="BO64" s="103"/>
      <c r="BP64" s="53"/>
      <c r="BQ64" s="76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88" t="str">
        <f ca="1">IF(BR67&lt;&gt;"",BR22,"")</f>
        <v/>
      </c>
      <c r="BS64" s="89"/>
      <c r="BT64" s="89"/>
      <c r="BU64" s="89"/>
      <c r="BV64" s="103"/>
      <c r="BW64" s="53"/>
      <c r="BX64" s="77">
        <f>BX60+7</f>
        <v>63</v>
      </c>
      <c r="BY64" s="77" t="str" cm="1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77" t="str" cm="1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77" t="str" cm="1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77" t="str" cm="1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77" t="str" cm="1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77" t="str" cm="1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77" t="str" cm="1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77" t="str" cm="1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77" t="str" cm="1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77" t="str" cm="1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77">
        <f t="shared" ca="1" si="0"/>
        <v>0</v>
      </c>
      <c r="CJ64" s="77" t="b" cm="1">
        <f t="array" aca="1" ref="CJ64" ca="1">SUMPRODUCT((LEN(BY64:CH64)&gt;0)*1)&gt;0</f>
        <v>0</v>
      </c>
      <c r="CK64" s="77" t="str">
        <f t="array" aca="1" ref="CK64" ca="1">IFERROR(SMALL(IF(CI$1:CI$100&lt;&gt;0,CI$1:CI$100),ROW(A64)),"")</f>
        <v/>
      </c>
      <c r="CL64" s="77" t="str" cm="1">
        <f t="array" aca="1" ref="CL64" ca="1">IF($CK64&lt;&gt;"",
INDIRECT(""&amp;IF(COLUMN(BY64)&lt;=26,CHAR(COLUMN(BY64)+64),CHAR(INT((COLUMN(BY64)-1)/26)+64)&amp;CHAR(MOD(COLUMN(BY64)-1,26)+65))&amp;$CK64&amp;""),"")</f>
        <v/>
      </c>
      <c r="CM64" s="77" t="str" cm="1">
        <f t="array" aca="1" ref="CM64" ca="1">IF($CK64&lt;&gt;"",
INDIRECT(""&amp;IF(COLUMN(BZ64)&lt;=26,CHAR(COLUMN(BZ64)+64),CHAR(INT((COLUMN(BZ64)-1)/26)+64)&amp;CHAR(MOD(COLUMN(BZ64)-1,26)+65))&amp;$CK64&amp;""),"")</f>
        <v/>
      </c>
      <c r="CN64" s="77" t="str" cm="1">
        <f t="array" aca="1" ref="CN64" ca="1">IF($CK64&lt;&gt;"",
INDIRECT(""&amp;IF(COLUMN(CA64)&lt;=26,CHAR(COLUMN(CA64)+64),CHAR(INT((COLUMN(CA64)-1)/26)+64)&amp;CHAR(MOD(COLUMN(CA64)-1,26)+65))&amp;$CK64&amp;""),"")</f>
        <v/>
      </c>
      <c r="CO64" s="77" t="str" cm="1">
        <f t="array" aca="1" ref="CO64" ca="1">IF($CK64&lt;&gt;"",
INDIRECT(""&amp;IF(COLUMN(CB64)&lt;=26,CHAR(COLUMN(CB64)+64),CHAR(INT((COLUMN(CB64)-1)/26)+64)&amp;CHAR(MOD(COLUMN(CB64)-1,26)+65))&amp;$CK64&amp;""),"")</f>
        <v/>
      </c>
      <c r="CP64" s="77" t="str" cm="1">
        <f t="array" aca="1" ref="CP64" ca="1">IF($CK64&lt;&gt;"",
INDIRECT(""&amp;IF(COLUMN(CC64)&lt;=26,CHAR(COLUMN(CC64)+64),CHAR(INT((COLUMN(CC64)-1)/26)+64)&amp;CHAR(MOD(COLUMN(CC64)-1,26)+65))&amp;$CK64&amp;""),"")</f>
        <v/>
      </c>
      <c r="CQ64" s="77" t="str" cm="1">
        <f t="array" aca="1" ref="CQ64" ca="1">IF($CK64&lt;&gt;"",
INDIRECT(""&amp;IF(COLUMN(CD64)&lt;=26,CHAR(COLUMN(CD64)+64),CHAR(INT((COLUMN(CD64)-1)/26)+64)&amp;CHAR(MOD(COLUMN(CD64)-1,26)+65))&amp;$CK64&amp;""),"")</f>
        <v/>
      </c>
      <c r="CR64" s="77" t="str" cm="1">
        <f t="array" aca="1" ref="CR64" ca="1">IF($CK64&lt;&gt;"",
INDIRECT(""&amp;IF(COLUMN(CE64)&lt;=26,CHAR(COLUMN(CE64)+64),CHAR(INT((COLUMN(CE64)-1)/26)+64)&amp;CHAR(MOD(COLUMN(CE64)-1,26)+65))&amp;$CK64&amp;""),"")</f>
        <v/>
      </c>
      <c r="CS64" s="77" t="str" cm="1">
        <f t="array" aca="1" ref="CS64" ca="1">IF($CK64&lt;&gt;"",
INDIRECT(""&amp;IF(COLUMN(CF64)&lt;=26,CHAR(COLUMN(CF64)+64),CHAR(INT((COLUMN(CF64)-1)/26)+64)&amp;CHAR(MOD(COLUMN(CF64)-1,26)+65))&amp;$CK64&amp;""),"")</f>
        <v/>
      </c>
      <c r="CT64" s="77" t="str" cm="1">
        <f t="array" aca="1" ref="CT64" ca="1">IF($CK64&lt;&gt;"",
INDIRECT(""&amp;IF(COLUMN(CG64)&lt;=26,CHAR(COLUMN(CG64)+64),CHAR(INT((COLUMN(CG64)-1)/26)+64)&amp;CHAR(MOD(COLUMN(CG64)-1,26)+65))&amp;$CK64&amp;""),"")</f>
        <v/>
      </c>
      <c r="CU64" s="77" t="str" cm="1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77" customFormat="1" ht="18" customHeight="1" x14ac:dyDescent="0.55000000000000004">
      <c r="A65" s="53"/>
      <c r="B65" s="7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9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53"/>
      <c r="E65" s="108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8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00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53"/>
      <c r="I65" s="7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9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53"/>
      <c r="L65" s="108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8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00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53"/>
      <c r="P65" s="53"/>
      <c r="Q65" s="7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9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53"/>
      <c r="T65" s="108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8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0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53"/>
      <c r="X65" s="7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9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53"/>
      <c r="AA65" s="108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8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00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53"/>
      <c r="AE65" s="53"/>
      <c r="AF65" s="7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9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53"/>
      <c r="AI65" s="108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8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0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53"/>
      <c r="AM65" s="7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9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53"/>
      <c r="AP65" s="108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8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00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53"/>
      <c r="AT65" s="53"/>
      <c r="AU65" s="7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9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53"/>
      <c r="AX65" s="108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8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0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53"/>
      <c r="BB65" s="7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9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53"/>
      <c r="BE65" s="108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8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00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53"/>
      <c r="BI65" s="53"/>
      <c r="BJ65" s="7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9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53"/>
      <c r="BM65" s="108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8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0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53"/>
      <c r="BQ65" s="7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9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53"/>
      <c r="BT65" s="108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8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00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53"/>
      <c r="BX65" s="77">
        <f>BX61+7</f>
        <v>28</v>
      </c>
      <c r="BY65" s="77" t="str" cm="1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77" t="str" cm="1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77" t="str" cm="1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77" t="str" cm="1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77" t="str" cm="1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77" t="str" cm="1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77" t="str" cm="1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77" t="str" cm="1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77" t="str" cm="1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77" t="str" cm="1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77">
        <f t="shared" ca="1" si="0"/>
        <v>0</v>
      </c>
      <c r="CJ65" s="77" t="b" cm="1">
        <f t="array" aca="1" ref="CJ65" ca="1">SUMPRODUCT((LEN(BY65:CH65)&gt;0)*1)&gt;0</f>
        <v>0</v>
      </c>
      <c r="CK65" s="77" t="str">
        <f t="array" aca="1" ref="CK65" ca="1">IFERROR(SMALL(IF(CI$1:CI$100&lt;&gt;0,CI$1:CI$100),ROW(A65)),"")</f>
        <v/>
      </c>
      <c r="CL65" s="77" t="str" cm="1">
        <f t="array" aca="1" ref="CL65" ca="1">IF($CK65&lt;&gt;"",
INDIRECT(""&amp;IF(COLUMN(BY65)&lt;=26,CHAR(COLUMN(BY65)+64),CHAR(INT((COLUMN(BY65)-1)/26)+64)&amp;CHAR(MOD(COLUMN(BY65)-1,26)+65))&amp;$CK65&amp;""),"")</f>
        <v/>
      </c>
      <c r="CM65" s="77" t="str" cm="1">
        <f t="array" aca="1" ref="CM65" ca="1">IF($CK65&lt;&gt;"",
INDIRECT(""&amp;IF(COLUMN(BZ65)&lt;=26,CHAR(COLUMN(BZ65)+64),CHAR(INT((COLUMN(BZ65)-1)/26)+64)&amp;CHAR(MOD(COLUMN(BZ65)-1,26)+65))&amp;$CK65&amp;""),"")</f>
        <v/>
      </c>
      <c r="CN65" s="77" t="str" cm="1">
        <f t="array" aca="1" ref="CN65" ca="1">IF($CK65&lt;&gt;"",
INDIRECT(""&amp;IF(COLUMN(CA65)&lt;=26,CHAR(COLUMN(CA65)+64),CHAR(INT((COLUMN(CA65)-1)/26)+64)&amp;CHAR(MOD(COLUMN(CA65)-1,26)+65))&amp;$CK65&amp;""),"")</f>
        <v/>
      </c>
      <c r="CO65" s="77" t="str" cm="1">
        <f t="array" aca="1" ref="CO65" ca="1">IF($CK65&lt;&gt;"",
INDIRECT(""&amp;IF(COLUMN(CB65)&lt;=26,CHAR(COLUMN(CB65)+64),CHAR(INT((COLUMN(CB65)-1)/26)+64)&amp;CHAR(MOD(COLUMN(CB65)-1,26)+65))&amp;$CK65&amp;""),"")</f>
        <v/>
      </c>
      <c r="CP65" s="77" t="str" cm="1">
        <f t="array" aca="1" ref="CP65" ca="1">IF($CK65&lt;&gt;"",
INDIRECT(""&amp;IF(COLUMN(CC65)&lt;=26,CHAR(COLUMN(CC65)+64),CHAR(INT((COLUMN(CC65)-1)/26)+64)&amp;CHAR(MOD(COLUMN(CC65)-1,26)+65))&amp;$CK65&amp;""),"")</f>
        <v/>
      </c>
      <c r="CQ65" s="77" t="str" cm="1">
        <f t="array" aca="1" ref="CQ65" ca="1">IF($CK65&lt;&gt;"",
INDIRECT(""&amp;IF(COLUMN(CD65)&lt;=26,CHAR(COLUMN(CD65)+64),CHAR(INT((COLUMN(CD65)-1)/26)+64)&amp;CHAR(MOD(COLUMN(CD65)-1,26)+65))&amp;$CK65&amp;""),"")</f>
        <v/>
      </c>
      <c r="CR65" s="77" t="str" cm="1">
        <f t="array" aca="1" ref="CR65" ca="1">IF($CK65&lt;&gt;"",
INDIRECT(""&amp;IF(COLUMN(CE65)&lt;=26,CHAR(COLUMN(CE65)+64),CHAR(INT((COLUMN(CE65)-1)/26)+64)&amp;CHAR(MOD(COLUMN(CE65)-1,26)+65))&amp;$CK65&amp;""),"")</f>
        <v/>
      </c>
      <c r="CS65" s="77" t="str" cm="1">
        <f t="array" aca="1" ref="CS65" ca="1">IF($CK65&lt;&gt;"",
INDIRECT(""&amp;IF(COLUMN(CF65)&lt;=26,CHAR(COLUMN(CF65)+64),CHAR(INT((COLUMN(CF65)-1)/26)+64)&amp;CHAR(MOD(COLUMN(CF65)-1,26)+65))&amp;$CK65&amp;""),"")</f>
        <v/>
      </c>
      <c r="CT65" s="77" t="str" cm="1">
        <f t="array" aca="1" ref="CT65" ca="1">IF($CK65&lt;&gt;"",
INDIRECT(""&amp;IF(COLUMN(CG65)&lt;=26,CHAR(COLUMN(CG65)+64),CHAR(INT((COLUMN(CG65)-1)/26)+64)&amp;CHAR(MOD(COLUMN(CG65)-1,26)+65))&amp;$CK65&amp;""),"")</f>
        <v/>
      </c>
      <c r="CU65" s="77" t="str" cm="1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77" customFormat="1" ht="22.2" x14ac:dyDescent="0.55000000000000004">
      <c r="A66" s="53"/>
      <c r="B66" s="85"/>
      <c r="C66" s="86" t="str">
        <f ca="1">IF(C67&lt;&gt;"","園児","")</f>
        <v/>
      </c>
      <c r="D66" s="87"/>
      <c r="E66" s="96" t="str">
        <f ca="1">IF(C67&lt;&gt;"","先生","")</f>
        <v/>
      </c>
      <c r="F66" s="87"/>
      <c r="G66" s="101"/>
      <c r="H66" s="53"/>
      <c r="I66" s="85"/>
      <c r="J66" s="86" t="str">
        <f ca="1">IF(J67&lt;&gt;"","園児","")</f>
        <v/>
      </c>
      <c r="K66" s="87"/>
      <c r="L66" s="96" t="str">
        <f ca="1">IF(J67&lt;&gt;"","先生","")</f>
        <v/>
      </c>
      <c r="M66" s="87"/>
      <c r="N66" s="101"/>
      <c r="O66" s="53"/>
      <c r="P66" s="53"/>
      <c r="Q66" s="85"/>
      <c r="R66" s="86" t="str">
        <f ca="1">IF(R67&lt;&gt;"","園児","")</f>
        <v/>
      </c>
      <c r="S66" s="87"/>
      <c r="T66" s="96" t="str">
        <f ca="1">IF(R67&lt;&gt;"","先生","")</f>
        <v/>
      </c>
      <c r="U66" s="87"/>
      <c r="V66" s="101"/>
      <c r="W66" s="53"/>
      <c r="X66" s="85"/>
      <c r="Y66" s="86" t="str">
        <f ca="1">IF(Y67&lt;&gt;"","園児","")</f>
        <v/>
      </c>
      <c r="Z66" s="87"/>
      <c r="AA66" s="96" t="str">
        <f ca="1">IF(Y67&lt;&gt;"","先生","")</f>
        <v/>
      </c>
      <c r="AB66" s="87"/>
      <c r="AC66" s="101"/>
      <c r="AD66" s="53"/>
      <c r="AE66" s="53"/>
      <c r="AF66" s="85"/>
      <c r="AG66" s="86" t="str">
        <f ca="1">IF(AG67&lt;&gt;"","園児","")</f>
        <v/>
      </c>
      <c r="AH66" s="87"/>
      <c r="AI66" s="96" t="str">
        <f ca="1">IF(AG67&lt;&gt;"","先生","")</f>
        <v/>
      </c>
      <c r="AJ66" s="87"/>
      <c r="AK66" s="101"/>
      <c r="AL66" s="53"/>
      <c r="AM66" s="85"/>
      <c r="AN66" s="86" t="str">
        <f ca="1">IF(AN67&lt;&gt;"","園児","")</f>
        <v/>
      </c>
      <c r="AO66" s="87"/>
      <c r="AP66" s="96" t="str">
        <f ca="1">IF(AN67&lt;&gt;"","先生","")</f>
        <v/>
      </c>
      <c r="AQ66" s="87"/>
      <c r="AR66" s="101"/>
      <c r="AS66" s="53"/>
      <c r="AT66" s="53"/>
      <c r="AU66" s="85"/>
      <c r="AV66" s="86" t="str">
        <f ca="1">IF(AV67&lt;&gt;"","園児","")</f>
        <v/>
      </c>
      <c r="AW66" s="87"/>
      <c r="AX66" s="96" t="str">
        <f ca="1">IF(AV67&lt;&gt;"","先生","")</f>
        <v/>
      </c>
      <c r="AY66" s="87"/>
      <c r="AZ66" s="101"/>
      <c r="BA66" s="53"/>
      <c r="BB66" s="85"/>
      <c r="BC66" s="86" t="str">
        <f ca="1">IF(BC67&lt;&gt;"","園児","")</f>
        <v/>
      </c>
      <c r="BD66" s="87"/>
      <c r="BE66" s="96" t="str">
        <f ca="1">IF(BC67&lt;&gt;"","先生","")</f>
        <v/>
      </c>
      <c r="BF66" s="87"/>
      <c r="BG66" s="101"/>
      <c r="BH66" s="53"/>
      <c r="BI66" s="53"/>
      <c r="BJ66" s="85"/>
      <c r="BK66" s="86" t="str">
        <f ca="1">IF(BK67&lt;&gt;"","園児","")</f>
        <v/>
      </c>
      <c r="BL66" s="87"/>
      <c r="BM66" s="96" t="str">
        <f ca="1">IF(BK67&lt;&gt;"","先生","")</f>
        <v/>
      </c>
      <c r="BN66" s="87"/>
      <c r="BO66" s="101"/>
      <c r="BP66" s="53"/>
      <c r="BQ66" s="85"/>
      <c r="BR66" s="86" t="str">
        <f ca="1">IF(BR67&lt;&gt;"","園児","")</f>
        <v/>
      </c>
      <c r="BS66" s="87"/>
      <c r="BT66" s="96" t="str">
        <f ca="1">IF(BR67&lt;&gt;"","先生","")</f>
        <v/>
      </c>
      <c r="BU66" s="87"/>
      <c r="BV66" s="101"/>
      <c r="BW66" s="53"/>
      <c r="BX66" s="77">
        <f>BX62+7</f>
        <v>70</v>
      </c>
      <c r="BY66" s="77" t="str" cm="1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77" t="str" cm="1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77" t="str" cm="1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77" t="str" cm="1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77" t="str" cm="1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77" t="str" cm="1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77" t="str" cm="1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77" t="str" cm="1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77" t="str" cm="1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77" t="str" cm="1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77">
        <f t="shared" ref="CI66:CI120" ca="1" si="1">IF(COUNTIF(CJ66,"TRUE"),ROW(),0)</f>
        <v>0</v>
      </c>
      <c r="CJ66" s="77" t="b" cm="1">
        <f t="array" aca="1" ref="CJ66" ca="1">SUMPRODUCT((LEN(BY66:CH66)&gt;0)*1)&gt;0</f>
        <v>0</v>
      </c>
      <c r="CK66" s="77" t="str">
        <f t="array" aca="1" ref="CK66" ca="1">IFERROR(SMALL(IF(CI$1:CI$100&lt;&gt;0,CI$1:CI$100),ROW(A66)),"")</f>
        <v/>
      </c>
      <c r="CL66" s="77" t="str" cm="1">
        <f t="array" aca="1" ref="CL66" ca="1">IF($CK66&lt;&gt;"",
INDIRECT(""&amp;IF(COLUMN(BY66)&lt;=26,CHAR(COLUMN(BY66)+64),CHAR(INT((COLUMN(BY66)-1)/26)+64)&amp;CHAR(MOD(COLUMN(BY66)-1,26)+65))&amp;$CK66&amp;""),"")</f>
        <v/>
      </c>
      <c r="CM66" s="77" t="str" cm="1">
        <f t="array" aca="1" ref="CM66" ca="1">IF($CK66&lt;&gt;"",
INDIRECT(""&amp;IF(COLUMN(BZ66)&lt;=26,CHAR(COLUMN(BZ66)+64),CHAR(INT((COLUMN(BZ66)-1)/26)+64)&amp;CHAR(MOD(COLUMN(BZ66)-1,26)+65))&amp;$CK66&amp;""),"")</f>
        <v/>
      </c>
      <c r="CN66" s="77" t="str" cm="1">
        <f t="array" aca="1" ref="CN66" ca="1">IF($CK66&lt;&gt;"",
INDIRECT(""&amp;IF(COLUMN(CA66)&lt;=26,CHAR(COLUMN(CA66)+64),CHAR(INT((COLUMN(CA66)-1)/26)+64)&amp;CHAR(MOD(COLUMN(CA66)-1,26)+65))&amp;$CK66&amp;""),"")</f>
        <v/>
      </c>
      <c r="CO66" s="77" t="str" cm="1">
        <f t="array" aca="1" ref="CO66" ca="1">IF($CK66&lt;&gt;"",
INDIRECT(""&amp;IF(COLUMN(CB66)&lt;=26,CHAR(COLUMN(CB66)+64),CHAR(INT((COLUMN(CB66)-1)/26)+64)&amp;CHAR(MOD(COLUMN(CB66)-1,26)+65))&amp;$CK66&amp;""),"")</f>
        <v/>
      </c>
      <c r="CP66" s="77" t="str" cm="1">
        <f t="array" aca="1" ref="CP66" ca="1">IF($CK66&lt;&gt;"",
INDIRECT(""&amp;IF(COLUMN(CC66)&lt;=26,CHAR(COLUMN(CC66)+64),CHAR(INT((COLUMN(CC66)-1)/26)+64)&amp;CHAR(MOD(COLUMN(CC66)-1,26)+65))&amp;$CK66&amp;""),"")</f>
        <v/>
      </c>
      <c r="CQ66" s="77" t="str" cm="1">
        <f t="array" aca="1" ref="CQ66" ca="1">IF($CK66&lt;&gt;"",
INDIRECT(""&amp;IF(COLUMN(CD66)&lt;=26,CHAR(COLUMN(CD66)+64),CHAR(INT((COLUMN(CD66)-1)/26)+64)&amp;CHAR(MOD(COLUMN(CD66)-1,26)+65))&amp;$CK66&amp;""),"")</f>
        <v/>
      </c>
      <c r="CR66" s="77" t="str" cm="1">
        <f t="array" aca="1" ref="CR66" ca="1">IF($CK66&lt;&gt;"",
INDIRECT(""&amp;IF(COLUMN(CE66)&lt;=26,CHAR(COLUMN(CE66)+64),CHAR(INT((COLUMN(CE66)-1)/26)+64)&amp;CHAR(MOD(COLUMN(CE66)-1,26)+65))&amp;$CK66&amp;""),"")</f>
        <v/>
      </c>
      <c r="CS66" s="77" t="str" cm="1">
        <f t="array" aca="1" ref="CS66" ca="1">IF($CK66&lt;&gt;"",
INDIRECT(""&amp;IF(COLUMN(CF66)&lt;=26,CHAR(COLUMN(CF66)+64),CHAR(INT((COLUMN(CF66)-1)/26)+64)&amp;CHAR(MOD(COLUMN(CF66)-1,26)+65))&amp;$CK66&amp;""),"")</f>
        <v/>
      </c>
      <c r="CT66" s="77" t="str" cm="1">
        <f t="array" aca="1" ref="CT66" ca="1">IF($CK66&lt;&gt;"",
INDIRECT(""&amp;IF(COLUMN(CG66)&lt;=26,CHAR(COLUMN(CG66)+64),CHAR(INT((COLUMN(CG66)-1)/26)+64)&amp;CHAR(MOD(COLUMN(CG66)-1,26)+65))&amp;$CK66&amp;""),"")</f>
        <v/>
      </c>
      <c r="CU66" s="77" t="str" cm="1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1"/>
      <c r="C67" s="9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91"/>
      <c r="E67" s="9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91"/>
      <c r="G67" s="101"/>
      <c r="I67" s="11"/>
      <c r="J67" s="9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91"/>
      <c r="L67" s="9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91"/>
      <c r="N67" s="101"/>
      <c r="Q67" s="11"/>
      <c r="R67" s="9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91"/>
      <c r="T67" s="9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91"/>
      <c r="V67" s="101"/>
      <c r="X67" s="11"/>
      <c r="Y67" s="9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91"/>
      <c r="AA67" s="9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91"/>
      <c r="AC67" s="101"/>
      <c r="AF67" s="11"/>
      <c r="AG67" s="9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91"/>
      <c r="AI67" s="9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91"/>
      <c r="AK67" s="101"/>
      <c r="AM67" s="11"/>
      <c r="AN67" s="9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91"/>
      <c r="AP67" s="9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91"/>
      <c r="AR67" s="101"/>
      <c r="AU67" s="11"/>
      <c r="AV67" s="9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91"/>
      <c r="AX67" s="9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91"/>
      <c r="AZ67" s="101"/>
      <c r="BB67" s="11"/>
      <c r="BC67" s="9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91"/>
      <c r="BE67" s="9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91"/>
      <c r="BG67" s="101"/>
      <c r="BJ67" s="11"/>
      <c r="BK67" s="9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91"/>
      <c r="BM67" s="9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91"/>
      <c r="BO67" s="101"/>
      <c r="BQ67" s="11"/>
      <c r="BR67" s="9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91"/>
      <c r="BT67" s="9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91"/>
      <c r="BV67" s="101"/>
      <c r="BX67">
        <f>BX63+7</f>
        <v>28</v>
      </c>
      <c r="BY67" s="77" t="str" cm="1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77" t="str" cm="1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77" t="str" cm="1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77" t="str" cm="1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77" t="str" cm="1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77" t="str" cm="1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77" t="str" cm="1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77" t="str" cm="1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77" t="str" cm="1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77" t="str" cm="1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77">
        <f t="shared" ca="1" si="1"/>
        <v>0</v>
      </c>
      <c r="CJ67" s="77" t="b" cm="1">
        <f t="array" aca="1" ref="CJ67" ca="1">SUMPRODUCT((LEN(BY67:CH67)&gt;0)*1)&gt;0</f>
        <v>0</v>
      </c>
      <c r="CK67" s="77" t="str">
        <f t="array" aca="1" ref="CK67" ca="1">IFERROR(SMALL(IF(CI$1:CI$100&lt;&gt;0,CI$1:CI$100),ROW(A67)),"")</f>
        <v/>
      </c>
      <c r="CL67" s="77" t="str" cm="1">
        <f t="array" aca="1" ref="CL67" ca="1">IF($CK67&lt;&gt;"",
INDIRECT(""&amp;IF(COLUMN(BY67)&lt;=26,CHAR(COLUMN(BY67)+64),CHAR(INT((COLUMN(BY67)-1)/26)+64)&amp;CHAR(MOD(COLUMN(BY67)-1,26)+65))&amp;$CK67&amp;""),"")</f>
        <v/>
      </c>
      <c r="CM67" s="77" t="str" cm="1">
        <f t="array" aca="1" ref="CM67" ca="1">IF($CK67&lt;&gt;"",
INDIRECT(""&amp;IF(COLUMN(BZ67)&lt;=26,CHAR(COLUMN(BZ67)+64),CHAR(INT((COLUMN(BZ67)-1)/26)+64)&amp;CHAR(MOD(COLUMN(BZ67)-1,26)+65))&amp;$CK67&amp;""),"")</f>
        <v/>
      </c>
      <c r="CN67" s="77" t="str" cm="1">
        <f t="array" aca="1" ref="CN67" ca="1">IF($CK67&lt;&gt;"",
INDIRECT(""&amp;IF(COLUMN(CA67)&lt;=26,CHAR(COLUMN(CA67)+64),CHAR(INT((COLUMN(CA67)-1)/26)+64)&amp;CHAR(MOD(COLUMN(CA67)-1,26)+65))&amp;$CK67&amp;""),"")</f>
        <v/>
      </c>
      <c r="CO67" s="77" t="str" cm="1">
        <f t="array" aca="1" ref="CO67" ca="1">IF($CK67&lt;&gt;"",
INDIRECT(""&amp;IF(COLUMN(CB67)&lt;=26,CHAR(COLUMN(CB67)+64),CHAR(INT((COLUMN(CB67)-1)/26)+64)&amp;CHAR(MOD(COLUMN(CB67)-1,26)+65))&amp;$CK67&amp;""),"")</f>
        <v/>
      </c>
      <c r="CP67" s="77" t="str" cm="1">
        <f t="array" aca="1" ref="CP67" ca="1">IF($CK67&lt;&gt;"",
INDIRECT(""&amp;IF(COLUMN(CC67)&lt;=26,CHAR(COLUMN(CC67)+64),CHAR(INT((COLUMN(CC67)-1)/26)+64)&amp;CHAR(MOD(COLUMN(CC67)-1,26)+65))&amp;$CK67&amp;""),"")</f>
        <v/>
      </c>
      <c r="CQ67" s="77" t="str" cm="1">
        <f t="array" aca="1" ref="CQ67" ca="1">IF($CK67&lt;&gt;"",
INDIRECT(""&amp;IF(COLUMN(CD67)&lt;=26,CHAR(COLUMN(CD67)+64),CHAR(INT((COLUMN(CD67)-1)/26)+64)&amp;CHAR(MOD(COLUMN(CD67)-1,26)+65))&amp;$CK67&amp;""),"")</f>
        <v/>
      </c>
      <c r="CR67" s="77" t="str" cm="1">
        <f t="array" aca="1" ref="CR67" ca="1">IF($CK67&lt;&gt;"",
INDIRECT(""&amp;IF(COLUMN(CE67)&lt;=26,CHAR(COLUMN(CE67)+64),CHAR(INT((COLUMN(CE67)-1)/26)+64)&amp;CHAR(MOD(COLUMN(CE67)-1,26)+65))&amp;$CK67&amp;""),"")</f>
        <v/>
      </c>
      <c r="CS67" s="77" t="str" cm="1">
        <f t="array" aca="1" ref="CS67" ca="1">IF($CK67&lt;&gt;"",
INDIRECT(""&amp;IF(COLUMN(CF67)&lt;=26,CHAR(COLUMN(CF67)+64),CHAR(INT((COLUMN(CF67)-1)/26)+64)&amp;CHAR(MOD(COLUMN(CF67)-1,26)+65))&amp;$CK67&amp;""),"")</f>
        <v/>
      </c>
      <c r="CT67" s="77" t="str" cm="1">
        <f t="array" aca="1" ref="CT67" ca="1">IF($CK67&lt;&gt;"",
INDIRECT(""&amp;IF(COLUMN(CG67)&lt;=26,CHAR(COLUMN(CG67)+64),CHAR(INT((COLUMN(CG67)-1)/26)+64)&amp;CHAR(MOD(COLUMN(CG67)-1,26)+65))&amp;$CK67&amp;""),"")</f>
        <v/>
      </c>
      <c r="CU67" s="77" t="str" cm="1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8"/>
      <c r="C68" s="92"/>
      <c r="D68" s="92"/>
      <c r="E68" s="92"/>
      <c r="F68" s="92"/>
      <c r="G68" s="102"/>
      <c r="I68" s="8"/>
      <c r="J68" s="92"/>
      <c r="K68" s="92"/>
      <c r="L68" s="92"/>
      <c r="M68" s="92"/>
      <c r="N68" s="102"/>
      <c r="Q68" s="8"/>
      <c r="R68" s="92"/>
      <c r="S68" s="92"/>
      <c r="T68" s="92"/>
      <c r="U68" s="92"/>
      <c r="V68" s="102"/>
      <c r="X68" s="8"/>
      <c r="Y68" s="92"/>
      <c r="Z68" s="92"/>
      <c r="AA68" s="92"/>
      <c r="AB68" s="92"/>
      <c r="AC68" s="102"/>
      <c r="AF68" s="8"/>
      <c r="AG68" s="92"/>
      <c r="AH68" s="92"/>
      <c r="AI68" s="92"/>
      <c r="AJ68" s="92"/>
      <c r="AK68" s="102"/>
      <c r="AM68" s="8"/>
      <c r="AN68" s="92"/>
      <c r="AO68" s="92"/>
      <c r="AP68" s="92"/>
      <c r="AQ68" s="92"/>
      <c r="AR68" s="102"/>
      <c r="AU68" s="8"/>
      <c r="AV68" s="92"/>
      <c r="AW68" s="92"/>
      <c r="AX68" s="92"/>
      <c r="AY68" s="92"/>
      <c r="AZ68" s="102"/>
      <c r="BB68" s="8"/>
      <c r="BC68" s="92"/>
      <c r="BD68" s="92"/>
      <c r="BE68" s="92"/>
      <c r="BF68" s="92"/>
      <c r="BG68" s="102"/>
      <c r="BJ68" s="8"/>
      <c r="BK68" s="92"/>
      <c r="BL68" s="92"/>
      <c r="BM68" s="92"/>
      <c r="BN68" s="92"/>
      <c r="BO68" s="102"/>
      <c r="BQ68" s="8"/>
      <c r="BR68" s="92"/>
      <c r="BS68" s="92"/>
      <c r="BT68" s="92"/>
      <c r="BU68" s="92"/>
      <c r="BV68" s="102"/>
      <c r="BX68" s="77">
        <f>BX64+7</f>
        <v>70</v>
      </c>
      <c r="BY68" s="77" t="str" cm="1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77" t="str" cm="1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77" t="str" cm="1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77" t="str" cm="1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77" t="str" cm="1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77" t="str" cm="1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77" t="str" cm="1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77" t="str" cm="1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77" t="str" cm="1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77" t="str" cm="1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77">
        <f t="shared" ca="1" si="1"/>
        <v>0</v>
      </c>
      <c r="CJ68" s="77" t="b" cm="1">
        <f t="array" aca="1" ref="CJ68" ca="1">SUMPRODUCT((LEN(BY68:CH68)&gt;0)*1)&gt;0</f>
        <v>0</v>
      </c>
      <c r="CK68" s="77" t="str">
        <f t="array" aca="1" ref="CK68" ca="1">IFERROR(SMALL(IF(CI$1:CI$100&lt;&gt;0,CI$1:CI$100),ROW(A68)),"")</f>
        <v/>
      </c>
      <c r="CL68" s="77" t="str" cm="1">
        <f t="array" aca="1" ref="CL68" ca="1">IF($CK68&lt;&gt;"",
INDIRECT(""&amp;IF(COLUMN(BY68)&lt;=26,CHAR(COLUMN(BY68)+64),CHAR(INT((COLUMN(BY68)-1)/26)+64)&amp;CHAR(MOD(COLUMN(BY68)-1,26)+65))&amp;$CK68&amp;""),"")</f>
        <v/>
      </c>
      <c r="CM68" s="77" t="str" cm="1">
        <f t="array" aca="1" ref="CM68" ca="1">IF($CK68&lt;&gt;"",
INDIRECT(""&amp;IF(COLUMN(BZ68)&lt;=26,CHAR(COLUMN(BZ68)+64),CHAR(INT((COLUMN(BZ68)-1)/26)+64)&amp;CHAR(MOD(COLUMN(BZ68)-1,26)+65))&amp;$CK68&amp;""),"")</f>
        <v/>
      </c>
      <c r="CN68" s="77" t="str" cm="1">
        <f t="array" aca="1" ref="CN68" ca="1">IF($CK68&lt;&gt;"",
INDIRECT(""&amp;IF(COLUMN(CA68)&lt;=26,CHAR(COLUMN(CA68)+64),CHAR(INT((COLUMN(CA68)-1)/26)+64)&amp;CHAR(MOD(COLUMN(CA68)-1,26)+65))&amp;$CK68&amp;""),"")</f>
        <v/>
      </c>
      <c r="CO68" s="77" t="str" cm="1">
        <f t="array" aca="1" ref="CO68" ca="1">IF($CK68&lt;&gt;"",
INDIRECT(""&amp;IF(COLUMN(CB68)&lt;=26,CHAR(COLUMN(CB68)+64),CHAR(INT((COLUMN(CB68)-1)/26)+64)&amp;CHAR(MOD(COLUMN(CB68)-1,26)+65))&amp;$CK68&amp;""),"")</f>
        <v/>
      </c>
      <c r="CP68" s="77" t="str" cm="1">
        <f t="array" aca="1" ref="CP68" ca="1">IF($CK68&lt;&gt;"",
INDIRECT(""&amp;IF(COLUMN(CC68)&lt;=26,CHAR(COLUMN(CC68)+64),CHAR(INT((COLUMN(CC68)-1)/26)+64)&amp;CHAR(MOD(COLUMN(CC68)-1,26)+65))&amp;$CK68&amp;""),"")</f>
        <v/>
      </c>
      <c r="CQ68" s="77" t="str" cm="1">
        <f t="array" aca="1" ref="CQ68" ca="1">IF($CK68&lt;&gt;"",
INDIRECT(""&amp;IF(COLUMN(CD68)&lt;=26,CHAR(COLUMN(CD68)+64),CHAR(INT((COLUMN(CD68)-1)/26)+64)&amp;CHAR(MOD(COLUMN(CD68)-1,26)+65))&amp;$CK68&amp;""),"")</f>
        <v/>
      </c>
      <c r="CR68" s="77" t="str" cm="1">
        <f t="array" aca="1" ref="CR68" ca="1">IF($CK68&lt;&gt;"",
INDIRECT(""&amp;IF(COLUMN(CE68)&lt;=26,CHAR(COLUMN(CE68)+64),CHAR(INT((COLUMN(CE68)-1)/26)+64)&amp;CHAR(MOD(COLUMN(CE68)-1,26)+65))&amp;$CK68&amp;""),"")</f>
        <v/>
      </c>
      <c r="CS68" s="77" t="str" cm="1">
        <f t="array" aca="1" ref="CS68" ca="1">IF($CK68&lt;&gt;"",
INDIRECT(""&amp;IF(COLUMN(CF68)&lt;=26,CHAR(COLUMN(CF68)+64),CHAR(INT((COLUMN(CF68)-1)/26)+64)&amp;CHAR(MOD(COLUMN(CF68)-1,26)+65))&amp;$CK68&amp;""),"")</f>
        <v/>
      </c>
      <c r="CT68" s="77" t="str" cm="1">
        <f t="array" aca="1" ref="CT68" ca="1">IF($CK68&lt;&gt;"",
INDIRECT(""&amp;IF(COLUMN(CG68)&lt;=26,CHAR(COLUMN(CG68)+64),CHAR(INT((COLUMN(CG68)-1)/26)+64)&amp;CHAR(MOD(COLUMN(CG68)-1,26)+65))&amp;$CK68&amp;""),"")</f>
        <v/>
      </c>
      <c r="CU68" s="77" t="str" cm="1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77" customFormat="1" ht="22.2" x14ac:dyDescent="0.55000000000000004">
      <c r="A69" s="53"/>
      <c r="B69" s="84" t="str">
        <f ca="1">IF(C67&lt;&gt;"","パン箱","")</f>
        <v/>
      </c>
      <c r="C69" s="82" t="str">
        <f ca="1">IF(C67&lt;&gt;"",IF(OR(COUNTIF('盛付札（関数）'!C65,"*キャラ*"),COUNTIF('盛付札（関数）'!C65,"*赤*")),24,
VLOOKUP('盛付札（関数）'!C65,商品マスタ一覧!$D:$I,6,FALSE)),"")</f>
        <v/>
      </c>
      <c r="D69" s="84" t="str">
        <f ca="1">IF(C67&lt;&gt;"","　端数","")</f>
        <v/>
      </c>
      <c r="E69" s="82"/>
      <c r="F69" s="84" t="str">
        <f ca="1">IF(C67&lt;&gt;"","アレルギー","")</f>
        <v/>
      </c>
      <c r="G69" s="101"/>
      <c r="H69" s="53"/>
      <c r="I69" s="84" t="str">
        <f ca="1">IF(J67&lt;&gt;"","パン箱","")</f>
        <v/>
      </c>
      <c r="J69" s="82" t="str">
        <f ca="1">IF(J67&lt;&gt;"",IF(OR(COUNTIF('盛付札（関数）'!J65,"*キャラ*"),COUNTIF('盛付札（関数）'!J65,"*赤*")),24,
VLOOKUP('盛付札（関数）'!J65,商品マスタ一覧!$D:$I,6,FALSE)),"")</f>
        <v/>
      </c>
      <c r="K69" s="84" t="str">
        <f ca="1">IF(J67&lt;&gt;"","　端数","")</f>
        <v/>
      </c>
      <c r="L69" s="82"/>
      <c r="M69" s="84" t="str">
        <f ca="1">IF(J67&lt;&gt;"","アレルギー","")</f>
        <v/>
      </c>
      <c r="N69" s="101"/>
      <c r="O69" s="53"/>
      <c r="P69" s="53"/>
      <c r="Q69" s="84" t="str">
        <f ca="1">IF(R67&lt;&gt;"","パン箱","")</f>
        <v/>
      </c>
      <c r="R69" s="82" t="str">
        <f ca="1">IF(R67&lt;&gt;"",IF(OR(COUNTIF('盛付札（関数）'!R65,"*キャラ*"),COUNTIF('盛付札（関数）'!R65,"*赤*")),24,
VLOOKUP('盛付札（関数）'!R65,商品マスタ一覧!$D:$I,6,FALSE)),"")</f>
        <v/>
      </c>
      <c r="S69" s="84" t="str">
        <f ca="1">IF(R67&lt;&gt;"","　端数","")</f>
        <v/>
      </c>
      <c r="T69" s="82"/>
      <c r="U69" s="84" t="str">
        <f ca="1">IF(R67&lt;&gt;"","アレルギー","")</f>
        <v/>
      </c>
      <c r="V69" s="101"/>
      <c r="W69" s="53"/>
      <c r="X69" s="84" t="str">
        <f ca="1">IF(Y67&lt;&gt;"","パン箱","")</f>
        <v/>
      </c>
      <c r="Y69" s="82" t="str">
        <f ca="1">IF(Y67&lt;&gt;"",IF(OR(COUNTIF('盛付札（関数）'!Y65,"*キャラ*"),COUNTIF('盛付札（関数）'!Y65,"*赤*")),24,
VLOOKUP('盛付札（関数）'!Y65,商品マスタ一覧!$D:$I,6,FALSE)),"")</f>
        <v/>
      </c>
      <c r="Z69" s="84" t="str">
        <f ca="1">IF(Y67&lt;&gt;"","　端数","")</f>
        <v/>
      </c>
      <c r="AA69" s="82"/>
      <c r="AB69" s="84" t="str">
        <f ca="1">IF(Y67&lt;&gt;"","アレルギー","")</f>
        <v/>
      </c>
      <c r="AC69" s="101"/>
      <c r="AD69" s="53"/>
      <c r="AE69" s="53"/>
      <c r="AF69" s="84" t="str">
        <f ca="1">IF(AG67&lt;&gt;"","パン箱","")</f>
        <v/>
      </c>
      <c r="AG69" s="82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84" t="str">
        <f ca="1">IF(AG67&lt;&gt;"","　端数","")</f>
        <v/>
      </c>
      <c r="AI69" s="82"/>
      <c r="AJ69" s="84" t="str">
        <f ca="1">IF(AG67&lt;&gt;"","アレルギー","")</f>
        <v/>
      </c>
      <c r="AK69" s="101"/>
      <c r="AL69" s="53"/>
      <c r="AM69" s="84" t="str">
        <f ca="1">IF(AN67&lt;&gt;"","パン箱","")</f>
        <v/>
      </c>
      <c r="AN69" s="82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84" t="str">
        <f ca="1">IF(AN67&lt;&gt;"","　端数","")</f>
        <v/>
      </c>
      <c r="AP69" s="82"/>
      <c r="AQ69" s="84" t="str">
        <f ca="1">IF(AN67&lt;&gt;"","アレルギー","")</f>
        <v/>
      </c>
      <c r="AR69" s="101"/>
      <c r="AS69" s="53"/>
      <c r="AT69" s="53"/>
      <c r="AU69" s="84" t="str">
        <f ca="1">IF(AV67&lt;&gt;"","パン箱","")</f>
        <v/>
      </c>
      <c r="AV69" s="82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84" t="str">
        <f ca="1">IF(AV67&lt;&gt;"","　端数","")</f>
        <v/>
      </c>
      <c r="AX69" s="82"/>
      <c r="AY69" s="84" t="str">
        <f ca="1">IF(AV67&lt;&gt;"","アレルギー","")</f>
        <v/>
      </c>
      <c r="AZ69" s="101"/>
      <c r="BA69" s="53"/>
      <c r="BB69" s="84" t="str">
        <f ca="1">IF(BC67&lt;&gt;"","パン箱","")</f>
        <v/>
      </c>
      <c r="BC69" s="82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84" t="str">
        <f ca="1">IF(BC67&lt;&gt;"","　端数","")</f>
        <v/>
      </c>
      <c r="BE69" s="82"/>
      <c r="BF69" s="84" t="str">
        <f ca="1">IF(BC67&lt;&gt;"","アレルギー","")</f>
        <v/>
      </c>
      <c r="BG69" s="101"/>
      <c r="BH69" s="53"/>
      <c r="BI69" s="53"/>
      <c r="BJ69" s="84" t="str">
        <f ca="1">IF(BK67&lt;&gt;"","パン箱","")</f>
        <v/>
      </c>
      <c r="BK69" s="82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84" t="str">
        <f ca="1">IF(BK67&lt;&gt;"","　端数","")</f>
        <v/>
      </c>
      <c r="BM69" s="82"/>
      <c r="BN69" s="84" t="str">
        <f ca="1">IF(BK67&lt;&gt;"","アレルギー","")</f>
        <v/>
      </c>
      <c r="BO69" s="101"/>
      <c r="BP69" s="53"/>
      <c r="BQ69" s="84" t="str">
        <f ca="1">IF(BR67&lt;&gt;"","パン箱","")</f>
        <v/>
      </c>
      <c r="BR69" s="82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84" t="str">
        <f ca="1">IF(BR67&lt;&gt;"","　端数","")</f>
        <v/>
      </c>
      <c r="BT69" s="82"/>
      <c r="BU69" s="84" t="str">
        <f ca="1">IF(BR67&lt;&gt;"","アレルギー","")</f>
        <v/>
      </c>
      <c r="BV69" s="101"/>
      <c r="BW69" s="53"/>
      <c r="BX69" s="77">
        <f>BX65+7</f>
        <v>35</v>
      </c>
      <c r="BY69" s="77" t="str" cm="1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77" t="str" cm="1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77" t="str" cm="1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77" t="str" cm="1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77" t="str" cm="1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77" t="str" cm="1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77" t="str" cm="1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77" t="str" cm="1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77" t="str" cm="1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77" t="str" cm="1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77">
        <f t="shared" ca="1" si="1"/>
        <v>0</v>
      </c>
      <c r="CJ69" s="77" t="b" cm="1">
        <f t="array" aca="1" ref="CJ69" ca="1">SUMPRODUCT((LEN(BY69:CH69)&gt;0)*1)&gt;0</f>
        <v>0</v>
      </c>
      <c r="CK69" s="77" t="str">
        <f t="array" aca="1" ref="CK69" ca="1">IFERROR(SMALL(IF(CI$1:CI$100&lt;&gt;0,CI$1:CI$100),ROW(A69)),"")</f>
        <v/>
      </c>
      <c r="CL69" s="77" t="str" cm="1">
        <f t="array" aca="1" ref="CL69" ca="1">IF($CK69&lt;&gt;"",
INDIRECT(""&amp;IF(COLUMN(BY69)&lt;=26,CHAR(COLUMN(BY69)+64),CHAR(INT((COLUMN(BY69)-1)/26)+64)&amp;CHAR(MOD(COLUMN(BY69)-1,26)+65))&amp;$CK69&amp;""),"")</f>
        <v/>
      </c>
      <c r="CM69" s="77" t="str" cm="1">
        <f t="array" aca="1" ref="CM69" ca="1">IF($CK69&lt;&gt;"",
INDIRECT(""&amp;IF(COLUMN(BZ69)&lt;=26,CHAR(COLUMN(BZ69)+64),CHAR(INT((COLUMN(BZ69)-1)/26)+64)&amp;CHAR(MOD(COLUMN(BZ69)-1,26)+65))&amp;$CK69&amp;""),"")</f>
        <v/>
      </c>
      <c r="CN69" s="77" t="str" cm="1">
        <f t="array" aca="1" ref="CN69" ca="1">IF($CK69&lt;&gt;"",
INDIRECT(""&amp;IF(COLUMN(CA69)&lt;=26,CHAR(COLUMN(CA69)+64),CHAR(INT((COLUMN(CA69)-1)/26)+64)&amp;CHAR(MOD(COLUMN(CA69)-1,26)+65))&amp;$CK69&amp;""),"")</f>
        <v/>
      </c>
      <c r="CO69" s="77" t="str" cm="1">
        <f t="array" aca="1" ref="CO69" ca="1">IF($CK69&lt;&gt;"",
INDIRECT(""&amp;IF(COLUMN(CB69)&lt;=26,CHAR(COLUMN(CB69)+64),CHAR(INT((COLUMN(CB69)-1)/26)+64)&amp;CHAR(MOD(COLUMN(CB69)-1,26)+65))&amp;$CK69&amp;""),"")</f>
        <v/>
      </c>
      <c r="CP69" s="77" t="str" cm="1">
        <f t="array" aca="1" ref="CP69" ca="1">IF($CK69&lt;&gt;"",
INDIRECT(""&amp;IF(COLUMN(CC69)&lt;=26,CHAR(COLUMN(CC69)+64),CHAR(INT((COLUMN(CC69)-1)/26)+64)&amp;CHAR(MOD(COLUMN(CC69)-1,26)+65))&amp;$CK69&amp;""),"")</f>
        <v/>
      </c>
      <c r="CQ69" s="77" t="str" cm="1">
        <f t="array" aca="1" ref="CQ69" ca="1">IF($CK69&lt;&gt;"",
INDIRECT(""&amp;IF(COLUMN(CD69)&lt;=26,CHAR(COLUMN(CD69)+64),CHAR(INT((COLUMN(CD69)-1)/26)+64)&amp;CHAR(MOD(COLUMN(CD69)-1,26)+65))&amp;$CK69&amp;""),"")</f>
        <v/>
      </c>
      <c r="CR69" s="77" t="str" cm="1">
        <f t="array" aca="1" ref="CR69" ca="1">IF($CK69&lt;&gt;"",
INDIRECT(""&amp;IF(COLUMN(CE69)&lt;=26,CHAR(COLUMN(CE69)+64),CHAR(INT((COLUMN(CE69)-1)/26)+64)&amp;CHAR(MOD(COLUMN(CE69)-1,26)+65))&amp;$CK69&amp;""),"")</f>
        <v/>
      </c>
      <c r="CS69" s="77" t="str" cm="1">
        <f t="array" aca="1" ref="CS69" ca="1">IF($CK69&lt;&gt;"",
INDIRECT(""&amp;IF(COLUMN(CF69)&lt;=26,CHAR(COLUMN(CF69)+64),CHAR(INT((COLUMN(CF69)-1)/26)+64)&amp;CHAR(MOD(COLUMN(CF69)-1,26)+65))&amp;$CK69&amp;""),"")</f>
        <v/>
      </c>
      <c r="CT69" s="77" t="str" cm="1">
        <f t="array" aca="1" ref="CT69" ca="1">IF($CK69&lt;&gt;"",
INDIRECT(""&amp;IF(COLUMN(CG69)&lt;=26,CHAR(COLUMN(CG69)+64),CHAR(INT((COLUMN(CG69)-1)/26)+64)&amp;CHAR(MOD(COLUMN(CG69)-1,26)+65))&amp;$CK69&amp;""),"")</f>
        <v/>
      </c>
      <c r="CU69" s="77" t="str" cm="1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97" t="str">
        <f ca="1">IF(C67&lt;&gt;"",
IFERROR(INT(C67/C69),""),"")</f>
        <v/>
      </c>
      <c r="C70" s="95"/>
      <c r="D70" s="97" t="str">
        <f ca="1">IFERROR(MOD(C67,C69),"")</f>
        <v/>
      </c>
      <c r="E70" s="95"/>
      <c r="F70" s="98" t="str" cm="1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MATCH(C67,INDIRECT("'数出表_Excel（アレルギー入力）'!"&amp;B22-1&amp;":"&amp;B22-1&amp;""),0)-1),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MATCH(C67,INDIRECT("'数出表_Excel（アレルギー入力）'!"&amp;B22-1&amp;":"&amp;B22-1&amp;""),0)-1),
 "")="",0,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MATCH(C67,INDIRECT("'数出表_Excel（アレルギー入力）'!"&amp;B22-1&amp;":"&amp;B22-1&amp;""),0)-1),
 "")),0),"")</f>
        <v/>
      </c>
      <c r="G70" s="99"/>
      <c r="I70" s="97" t="str">
        <f ca="1">IF(J67&lt;&gt;"",
IFERROR(INT(J67/J69),""),"")</f>
        <v/>
      </c>
      <c r="J70" s="95"/>
      <c r="K70" s="97" t="str">
        <f ca="1">IFERROR(MOD(J67,J69),"")</f>
        <v/>
      </c>
      <c r="L70" s="95"/>
      <c r="M70" s="98" t="str" cm="1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MATCH(J67,INDIRECT("'数出表_Excel（アレルギー入力）'!"&amp;I22-1&amp;":"&amp;I22-1&amp;""),0)-1),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MATCH(J67,INDIRECT("'数出表_Excel（アレルギー入力）'!"&amp;I22-1&amp;":"&amp;I22-1&amp;""),0)-1),
 "")="",0,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MATCH(J67,INDIRECT("'数出表_Excel（アレルギー入力）'!"&amp;I22-1&amp;":"&amp;I22-1&amp;""),0)-1),
 "")),0),"")</f>
        <v/>
      </c>
      <c r="N70" s="99"/>
      <c r="Q70" s="97" t="str">
        <f ca="1">IF(R67&lt;&gt;"",
IFERROR(INT(R67/R69),""),"")</f>
        <v/>
      </c>
      <c r="R70" s="95"/>
      <c r="S70" s="97" t="str">
        <f ca="1">IFERROR(MOD(R67,R69),"")</f>
        <v/>
      </c>
      <c r="T70" s="95"/>
      <c r="U70" s="98" t="str" cm="1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MATCH(R67,INDIRECT("'数出表_Excel（アレルギー入力）'!"&amp;Q22-1&amp;":"&amp;Q22-1&amp;""),0)-1),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MATCH(R67,INDIRECT("'数出表_Excel（アレルギー入力）'!"&amp;Q22-1&amp;":"&amp;Q22-1&amp;""),0)-1),
 "")="",0,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MATCH(R67,INDIRECT("'数出表_Excel（アレルギー入力）'!"&amp;Q22-1&amp;":"&amp;Q22-1&amp;""),0)-1),
 "")),0),"")</f>
        <v/>
      </c>
      <c r="V70" s="99"/>
      <c r="X70" s="97" t="str">
        <f ca="1">IF(Y67&lt;&gt;"",
IFERROR(INT(Y67/Y69),""),"")</f>
        <v/>
      </c>
      <c r="Y70" s="95"/>
      <c r="Z70" s="97" t="str">
        <f ca="1">IFERROR(MOD(Y67,Y69),"")</f>
        <v/>
      </c>
      <c r="AA70" s="95"/>
      <c r="AB70" s="98" t="str" cm="1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MATCH(Y67,INDIRECT("'数出表_Excel（アレルギー入力）'!"&amp;X22-1&amp;":"&amp;X22-1&amp;""),0)-1),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MATCH(Y67,INDIRECT("'数出表_Excel（アレルギー入力）'!"&amp;X22-1&amp;":"&amp;X22-1&amp;""),0)-1),
 "")="",0,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MATCH(Y67,INDIRECT("'数出表_Excel（アレルギー入力）'!"&amp;X22-1&amp;":"&amp;X22-1&amp;""),0)-1),
 "")),0),"")</f>
        <v/>
      </c>
      <c r="AC70" s="99"/>
      <c r="AF70" s="97" t="str">
        <f ca="1">IF(AG67&lt;&gt;"",
IFERROR(INT(AG67/AG69),""),"")</f>
        <v/>
      </c>
      <c r="AG70" s="95"/>
      <c r="AH70" s="97" t="str">
        <f ca="1">IFERROR(MOD(AG67,AG69),"")</f>
        <v/>
      </c>
      <c r="AI70" s="95"/>
      <c r="AJ70" s="98" t="str" cm="1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MATCH(AG67,INDIRECT("'数出表_Excel（アレルギー入力）'!"&amp;AF22-1&amp;":"&amp;AF22-1&amp;""),0)-1),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MATCH(AG67,INDIRECT("'数出表_Excel（アレルギー入力）'!"&amp;AF22-1&amp;":"&amp;AF22-1&amp;""),0)-1),
 "")="",0,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MATCH(AG67,INDIRECT("'数出表_Excel（アレルギー入力）'!"&amp;AF22-1&amp;":"&amp;AF22-1&amp;""),0)-1),
 "")),0),"")</f>
        <v/>
      </c>
      <c r="AK70" s="99"/>
      <c r="AM70" s="97" t="str">
        <f ca="1">IF(AN67&lt;&gt;"",
IFERROR(INT(AN67/AN69),""),"")</f>
        <v/>
      </c>
      <c r="AN70" s="95"/>
      <c r="AO70" s="97" t="str">
        <f ca="1">IFERROR(MOD(AN67,AN69),"")</f>
        <v/>
      </c>
      <c r="AP70" s="95"/>
      <c r="AQ70" s="98" t="str" cm="1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MATCH(AN67,INDIRECT("'数出表_Excel（アレルギー入力）'!"&amp;AM22-1&amp;":"&amp;AM22-1&amp;""),0)-1),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MATCH(AN67,INDIRECT("'数出表_Excel（アレルギー入力）'!"&amp;AM22-1&amp;":"&amp;AM22-1&amp;""),0)-1),
 "")="",0,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MATCH(AN67,INDIRECT("'数出表_Excel（アレルギー入力）'!"&amp;AM22-1&amp;":"&amp;AM22-1&amp;""),0)-1),
 "")),0),"")</f>
        <v/>
      </c>
      <c r="AR70" s="99"/>
      <c r="AU70" s="97" t="str">
        <f ca="1">IF(AV67&lt;&gt;"",
IFERROR(INT(AV67/AV69),""),"")</f>
        <v/>
      </c>
      <c r="AV70" s="95"/>
      <c r="AW70" s="97" t="str">
        <f ca="1">IFERROR(MOD(AV67,AV69),"")</f>
        <v/>
      </c>
      <c r="AX70" s="95"/>
      <c r="AY70" s="98" t="str" cm="1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MATCH(AV67,INDIRECT("'数出表_Excel（アレルギー入力）'!"&amp;AU22-1&amp;":"&amp;AU22-1&amp;""),0)-1),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MATCH(AV67,INDIRECT("'数出表_Excel（アレルギー入力）'!"&amp;AU22-1&amp;":"&amp;AU22-1&amp;""),0)-1),
 "")="",0,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MATCH(AV67,INDIRECT("'数出表_Excel（アレルギー入力）'!"&amp;AU22-1&amp;":"&amp;AU22-1&amp;""),0)-1),
 "")),0),"")</f>
        <v/>
      </c>
      <c r="AZ70" s="99"/>
      <c r="BB70" s="97" t="str">
        <f ca="1">IF(BC67&lt;&gt;"",
IFERROR(INT(BC67/BC69),""),"")</f>
        <v/>
      </c>
      <c r="BC70" s="95"/>
      <c r="BD70" s="97" t="str">
        <f ca="1">IFERROR(MOD(BC67,BC69),"")</f>
        <v/>
      </c>
      <c r="BE70" s="95"/>
      <c r="BF70" s="98" t="str" cm="1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MATCH(BC67,INDIRECT("'数出表_Excel（アレルギー入力）'!"&amp;BB22-1&amp;":"&amp;BB22-1&amp;""),0)-1),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MATCH(BC67,INDIRECT("'数出表_Excel（アレルギー入力）'!"&amp;BB22-1&amp;":"&amp;BB22-1&amp;""),0)-1),
 "")="",0,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MATCH(BC67,INDIRECT("'数出表_Excel（アレルギー入力）'!"&amp;BB22-1&amp;":"&amp;BB22-1&amp;""),0)-1),
 "")),0),"")</f>
        <v/>
      </c>
      <c r="BG70" s="99"/>
      <c r="BJ70" s="97" t="str">
        <f ca="1">IF(BK67&lt;&gt;"",
IFERROR(INT(BK67/BK69),""),"")</f>
        <v/>
      </c>
      <c r="BK70" s="95"/>
      <c r="BL70" s="97" t="str">
        <f ca="1">IFERROR(MOD(BK67,BK69),"")</f>
        <v/>
      </c>
      <c r="BM70" s="95"/>
      <c r="BN70" s="98" t="str" cm="1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MATCH(BK67,INDIRECT("'数出表_Excel（アレルギー入力）'!"&amp;BJ22-1&amp;":"&amp;BJ22-1&amp;""),0)-1),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MATCH(BK67,INDIRECT("'数出表_Excel（アレルギー入力）'!"&amp;BJ22-1&amp;":"&amp;BJ22-1&amp;""),0)-1),
 "")="",0,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MATCH(BK67,INDIRECT("'数出表_Excel（アレルギー入力）'!"&amp;BJ22-1&amp;":"&amp;BJ22-1&amp;""),0)-1),
 "")),0),"")</f>
        <v/>
      </c>
      <c r="BO70" s="99"/>
      <c r="BQ70" s="97" t="str">
        <f ca="1">IF(BR67&lt;&gt;"",
IFERROR(INT(BR67/BR69),""),"")</f>
        <v/>
      </c>
      <c r="BR70" s="95"/>
      <c r="BS70" s="97" t="str">
        <f ca="1">IFERROR(MOD(BR67,BR69),"")</f>
        <v/>
      </c>
      <c r="BT70" s="95"/>
      <c r="BU70" s="98" t="str" cm="1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MATCH(BR67,INDIRECT("'数出表_Excel（アレルギー入力）'!"&amp;BQ22-1&amp;":"&amp;BQ22-1&amp;""),0)-1),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MATCH(BR67,INDIRECT("'数出表_Excel（アレルギー入力）'!"&amp;BQ22-1&amp;":"&amp;BQ22-1&amp;""),0)-1),
 "")="",0,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MATCH(BR67,INDIRECT("'数出表_Excel（アレルギー入力）'!"&amp;BQ22-1&amp;":"&amp;BQ22-1&amp;""),0)-1),
 "")),0),"")</f>
        <v/>
      </c>
      <c r="BV70" s="99"/>
      <c r="BX70" s="77">
        <f>BX66+7</f>
        <v>77</v>
      </c>
      <c r="BY70" s="77" t="str" cm="1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77" t="str" cm="1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77" t="str" cm="1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77" t="str" cm="1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77" t="str" cm="1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77" t="str" cm="1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77" t="str" cm="1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77" t="str" cm="1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77" t="str" cm="1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77" t="str" cm="1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77">
        <f t="shared" ca="1" si="1"/>
        <v>0</v>
      </c>
      <c r="CJ70" s="77" t="b" cm="1">
        <f t="array" aca="1" ref="CJ70" ca="1">SUMPRODUCT((LEN(BY70:CH70)&gt;0)*1)&gt;0</f>
        <v>0</v>
      </c>
      <c r="CK70" s="77" t="str">
        <f t="array" aca="1" ref="CK70" ca="1">IFERROR(SMALL(IF(CI$1:CI$100&lt;&gt;0,CI$1:CI$100),ROW(A70)),"")</f>
        <v/>
      </c>
      <c r="CL70" s="77" t="str" cm="1">
        <f t="array" aca="1" ref="CL70" ca="1">IF($CK70&lt;&gt;"",
INDIRECT(""&amp;IF(COLUMN(BY70)&lt;=26,CHAR(COLUMN(BY70)+64),CHAR(INT((COLUMN(BY70)-1)/26)+64)&amp;CHAR(MOD(COLUMN(BY70)-1,26)+65))&amp;$CK70&amp;""),"")</f>
        <v/>
      </c>
      <c r="CM70" s="77" t="str" cm="1">
        <f t="array" aca="1" ref="CM70" ca="1">IF($CK70&lt;&gt;"",
INDIRECT(""&amp;IF(COLUMN(BZ70)&lt;=26,CHAR(COLUMN(BZ70)+64),CHAR(INT((COLUMN(BZ70)-1)/26)+64)&amp;CHAR(MOD(COLUMN(BZ70)-1,26)+65))&amp;$CK70&amp;""),"")</f>
        <v/>
      </c>
      <c r="CN70" s="77" t="str" cm="1">
        <f t="array" aca="1" ref="CN70" ca="1">IF($CK70&lt;&gt;"",
INDIRECT(""&amp;IF(COLUMN(CA70)&lt;=26,CHAR(COLUMN(CA70)+64),CHAR(INT((COLUMN(CA70)-1)/26)+64)&amp;CHAR(MOD(COLUMN(CA70)-1,26)+65))&amp;$CK70&amp;""),"")</f>
        <v/>
      </c>
      <c r="CO70" s="77" t="str" cm="1">
        <f t="array" aca="1" ref="CO70" ca="1">IF($CK70&lt;&gt;"",
INDIRECT(""&amp;IF(COLUMN(CB70)&lt;=26,CHAR(COLUMN(CB70)+64),CHAR(INT((COLUMN(CB70)-1)/26)+64)&amp;CHAR(MOD(COLUMN(CB70)-1,26)+65))&amp;$CK70&amp;""),"")</f>
        <v/>
      </c>
      <c r="CP70" s="77" t="str" cm="1">
        <f t="array" aca="1" ref="CP70" ca="1">IF($CK70&lt;&gt;"",
INDIRECT(""&amp;IF(COLUMN(CC70)&lt;=26,CHAR(COLUMN(CC70)+64),CHAR(INT((COLUMN(CC70)-1)/26)+64)&amp;CHAR(MOD(COLUMN(CC70)-1,26)+65))&amp;$CK70&amp;""),"")</f>
        <v/>
      </c>
      <c r="CQ70" s="77" t="str" cm="1">
        <f t="array" aca="1" ref="CQ70" ca="1">IF($CK70&lt;&gt;"",
INDIRECT(""&amp;IF(COLUMN(CD70)&lt;=26,CHAR(COLUMN(CD70)+64),CHAR(INT((COLUMN(CD70)-1)/26)+64)&amp;CHAR(MOD(COLUMN(CD70)-1,26)+65))&amp;$CK70&amp;""),"")</f>
        <v/>
      </c>
      <c r="CR70" s="77" t="str" cm="1">
        <f t="array" aca="1" ref="CR70" ca="1">IF($CK70&lt;&gt;"",
INDIRECT(""&amp;IF(COLUMN(CE70)&lt;=26,CHAR(COLUMN(CE70)+64),CHAR(INT((COLUMN(CE70)-1)/26)+64)&amp;CHAR(MOD(COLUMN(CE70)-1,26)+65))&amp;$CK70&amp;""),"")</f>
        <v/>
      </c>
      <c r="CS70" s="77" t="str" cm="1">
        <f t="array" aca="1" ref="CS70" ca="1">IF($CK70&lt;&gt;"",
INDIRECT(""&amp;IF(COLUMN(CF70)&lt;=26,CHAR(COLUMN(CF70)+64),CHAR(INT((COLUMN(CF70)-1)/26)+64)&amp;CHAR(MOD(COLUMN(CF70)-1,26)+65))&amp;$CK70&amp;""),"")</f>
        <v/>
      </c>
      <c r="CT70" s="77" t="str" cm="1">
        <f t="array" aca="1" ref="CT70" ca="1">IF($CK70&lt;&gt;"",
INDIRECT(""&amp;IF(COLUMN(CG70)&lt;=26,CHAR(COLUMN(CG70)+64),CHAR(INT((COLUMN(CG70)-1)/26)+64)&amp;CHAR(MOD(COLUMN(CG70)-1,26)+65))&amp;$CK70&amp;""),"")</f>
        <v/>
      </c>
      <c r="CU70" s="77" t="str" cm="1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77" customFormat="1" ht="18" customHeight="1" x14ac:dyDescent="0.55000000000000004">
      <c r="A71" s="53"/>
      <c r="B71" s="76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88" t="str">
        <f ca="1">IF(C74&lt;&gt;"",C29,"")</f>
        <v/>
      </c>
      <c r="D71" s="89"/>
      <c r="E71" s="89"/>
      <c r="F71" s="89"/>
      <c r="G71" s="103"/>
      <c r="H71" s="53"/>
      <c r="I71" s="76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88" t="str">
        <f ca="1">IF(J74&lt;&gt;"",J29,"")</f>
        <v/>
      </c>
      <c r="K71" s="89"/>
      <c r="L71" s="89"/>
      <c r="M71" s="89"/>
      <c r="N71" s="103"/>
      <c r="O71" s="53"/>
      <c r="P71" s="53"/>
      <c r="Q71" s="76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88" t="str">
        <f ca="1">IF(R74&lt;&gt;"",R29,"")</f>
        <v/>
      </c>
      <c r="S71" s="89"/>
      <c r="T71" s="89"/>
      <c r="U71" s="89"/>
      <c r="V71" s="103"/>
      <c r="W71" s="53"/>
      <c r="X71" s="76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88" t="str">
        <f ca="1">IF(Y74&lt;&gt;"",Y29,"")</f>
        <v/>
      </c>
      <c r="Z71" s="89"/>
      <c r="AA71" s="89"/>
      <c r="AB71" s="89"/>
      <c r="AC71" s="103"/>
      <c r="AD71" s="53"/>
      <c r="AE71" s="53"/>
      <c r="AF71" s="76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88" t="str">
        <f ca="1">IF(AG74&lt;&gt;"",AG29,"")</f>
        <v/>
      </c>
      <c r="AH71" s="89"/>
      <c r="AI71" s="89"/>
      <c r="AJ71" s="89"/>
      <c r="AK71" s="103"/>
      <c r="AL71" s="53"/>
      <c r="AM71" s="76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88" t="str">
        <f ca="1">IF(AN74&lt;&gt;"",AN29,"")</f>
        <v/>
      </c>
      <c r="AO71" s="89"/>
      <c r="AP71" s="89"/>
      <c r="AQ71" s="89"/>
      <c r="AR71" s="103"/>
      <c r="AS71" s="53"/>
      <c r="AT71" s="53"/>
      <c r="AU71" s="76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88" t="str">
        <f ca="1">IF(AV74&lt;&gt;"",AV29,"")</f>
        <v/>
      </c>
      <c r="AW71" s="89"/>
      <c r="AX71" s="89"/>
      <c r="AY71" s="89"/>
      <c r="AZ71" s="103"/>
      <c r="BA71" s="53"/>
      <c r="BB71" s="76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88" t="str">
        <f ca="1">IF(BC74&lt;&gt;"",BC29,"")</f>
        <v/>
      </c>
      <c r="BD71" s="89"/>
      <c r="BE71" s="89"/>
      <c r="BF71" s="89"/>
      <c r="BG71" s="103"/>
      <c r="BH71" s="53"/>
      <c r="BI71" s="53"/>
      <c r="BJ71" s="76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88" t="str">
        <f ca="1">IF(BK74&lt;&gt;"",BK29,"")</f>
        <v/>
      </c>
      <c r="BL71" s="89"/>
      <c r="BM71" s="89"/>
      <c r="BN71" s="89"/>
      <c r="BO71" s="103"/>
      <c r="BP71" s="53"/>
      <c r="BQ71" s="76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88" t="str">
        <f ca="1">IF(BR74&lt;&gt;"",BR29,"")</f>
        <v/>
      </c>
      <c r="BS71" s="89"/>
      <c r="BT71" s="89"/>
      <c r="BU71" s="89"/>
      <c r="BV71" s="103"/>
      <c r="BW71" s="53"/>
      <c r="BX71">
        <f>BX67+7</f>
        <v>35</v>
      </c>
      <c r="BY71" s="77" t="str" cm="1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77" t="str" cm="1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77" t="str" cm="1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77" t="str" cm="1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77" t="str" cm="1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77" t="str" cm="1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77" t="str" cm="1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77" t="str" cm="1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77" t="str" cm="1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77" t="str" cm="1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77">
        <f t="shared" ca="1" si="1"/>
        <v>0</v>
      </c>
      <c r="CJ71" s="77" t="b" cm="1">
        <f t="array" aca="1" ref="CJ71" ca="1">SUMPRODUCT((LEN(BY71:CH71)&gt;0)*1)&gt;0</f>
        <v>0</v>
      </c>
      <c r="CK71" s="77" t="str">
        <f t="array" aca="1" ref="CK71" ca="1">IFERROR(SMALL(IF(CI$1:CI$100&lt;&gt;0,CI$1:CI$100),ROW(A71)),"")</f>
        <v/>
      </c>
      <c r="CL71" s="77" t="str" cm="1">
        <f t="array" aca="1" ref="CL71" ca="1">IF($CK71&lt;&gt;"",
INDIRECT(""&amp;IF(COLUMN(BY71)&lt;=26,CHAR(COLUMN(BY71)+64),CHAR(INT((COLUMN(BY71)-1)/26)+64)&amp;CHAR(MOD(COLUMN(BY71)-1,26)+65))&amp;$CK71&amp;""),"")</f>
        <v/>
      </c>
      <c r="CM71" s="77" t="str" cm="1">
        <f t="array" aca="1" ref="CM71" ca="1">IF($CK71&lt;&gt;"",
INDIRECT(""&amp;IF(COLUMN(BZ71)&lt;=26,CHAR(COLUMN(BZ71)+64),CHAR(INT((COLUMN(BZ71)-1)/26)+64)&amp;CHAR(MOD(COLUMN(BZ71)-1,26)+65))&amp;$CK71&amp;""),"")</f>
        <v/>
      </c>
      <c r="CN71" s="77" t="str" cm="1">
        <f t="array" aca="1" ref="CN71" ca="1">IF($CK71&lt;&gt;"",
INDIRECT(""&amp;IF(COLUMN(CA71)&lt;=26,CHAR(COLUMN(CA71)+64),CHAR(INT((COLUMN(CA71)-1)/26)+64)&amp;CHAR(MOD(COLUMN(CA71)-1,26)+65))&amp;$CK71&amp;""),"")</f>
        <v/>
      </c>
      <c r="CO71" s="77" t="str" cm="1">
        <f t="array" aca="1" ref="CO71" ca="1">IF($CK71&lt;&gt;"",
INDIRECT(""&amp;IF(COLUMN(CB71)&lt;=26,CHAR(COLUMN(CB71)+64),CHAR(INT((COLUMN(CB71)-1)/26)+64)&amp;CHAR(MOD(COLUMN(CB71)-1,26)+65))&amp;$CK71&amp;""),"")</f>
        <v/>
      </c>
      <c r="CP71" s="77" t="str" cm="1">
        <f t="array" aca="1" ref="CP71" ca="1">IF($CK71&lt;&gt;"",
INDIRECT(""&amp;IF(COLUMN(CC71)&lt;=26,CHAR(COLUMN(CC71)+64),CHAR(INT((COLUMN(CC71)-1)/26)+64)&amp;CHAR(MOD(COLUMN(CC71)-1,26)+65))&amp;$CK71&amp;""),"")</f>
        <v/>
      </c>
      <c r="CQ71" s="77" t="str" cm="1">
        <f t="array" aca="1" ref="CQ71" ca="1">IF($CK71&lt;&gt;"",
INDIRECT(""&amp;IF(COLUMN(CD71)&lt;=26,CHAR(COLUMN(CD71)+64),CHAR(INT((COLUMN(CD71)-1)/26)+64)&amp;CHAR(MOD(COLUMN(CD71)-1,26)+65))&amp;$CK71&amp;""),"")</f>
        <v/>
      </c>
      <c r="CR71" s="77" t="str" cm="1">
        <f t="array" aca="1" ref="CR71" ca="1">IF($CK71&lt;&gt;"",
INDIRECT(""&amp;IF(COLUMN(CE71)&lt;=26,CHAR(COLUMN(CE71)+64),CHAR(INT((COLUMN(CE71)-1)/26)+64)&amp;CHAR(MOD(COLUMN(CE71)-1,26)+65))&amp;$CK71&amp;""),"")</f>
        <v/>
      </c>
      <c r="CS71" s="77" t="str" cm="1">
        <f t="array" aca="1" ref="CS71" ca="1">IF($CK71&lt;&gt;"",
INDIRECT(""&amp;IF(COLUMN(CF71)&lt;=26,CHAR(COLUMN(CF71)+64),CHAR(INT((COLUMN(CF71)-1)/26)+64)&amp;CHAR(MOD(COLUMN(CF71)-1,26)+65))&amp;$CK71&amp;""),"")</f>
        <v/>
      </c>
      <c r="CT71" s="77" t="str" cm="1">
        <f t="array" aca="1" ref="CT71" ca="1">IF($CK71&lt;&gt;"",
INDIRECT(""&amp;IF(COLUMN(CG71)&lt;=26,CHAR(COLUMN(CG71)+64),CHAR(INT((COLUMN(CG71)-1)/26)+64)&amp;CHAR(MOD(COLUMN(CG71)-1,26)+65))&amp;$CK71&amp;""),"")</f>
        <v/>
      </c>
      <c r="CU71" s="77" t="str" cm="1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77" customFormat="1" ht="18" customHeight="1" x14ac:dyDescent="0.55000000000000004">
      <c r="A72" s="53"/>
      <c r="B72" s="7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9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53"/>
      <c r="E72" s="108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8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00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53"/>
      <c r="I72" s="7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9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53"/>
      <c r="L72" s="108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8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00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53"/>
      <c r="P72" s="53"/>
      <c r="Q72" s="7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9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53"/>
      <c r="T72" s="108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8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0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53"/>
      <c r="X72" s="7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9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53"/>
      <c r="AA72" s="108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8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00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53"/>
      <c r="AE72" s="53"/>
      <c r="AF72" s="7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9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53"/>
      <c r="AI72" s="108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8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0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53"/>
      <c r="AM72" s="7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9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53"/>
      <c r="AP72" s="108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8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00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53"/>
      <c r="AT72" s="53"/>
      <c r="AU72" s="7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9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53"/>
      <c r="AX72" s="108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8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0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53"/>
      <c r="BB72" s="7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9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53"/>
      <c r="BE72" s="108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8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00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53"/>
      <c r="BI72" s="53"/>
      <c r="BJ72" s="7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9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53"/>
      <c r="BM72" s="108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8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0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53"/>
      <c r="BQ72" s="7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9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53"/>
      <c r="BT72" s="108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8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00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53"/>
      <c r="BX72" s="77">
        <f>BX68+7</f>
        <v>77</v>
      </c>
      <c r="BY72" s="77" t="str" cm="1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77" t="str" cm="1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77" t="str" cm="1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77" t="str" cm="1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77" t="str" cm="1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77" t="str" cm="1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77" t="str" cm="1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77" t="str" cm="1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77" t="str" cm="1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77" t="str" cm="1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77">
        <f t="shared" ca="1" si="1"/>
        <v>0</v>
      </c>
      <c r="CJ72" s="77" t="b" cm="1">
        <f t="array" aca="1" ref="CJ72" ca="1">SUMPRODUCT((LEN(BY72:CH72)&gt;0)*1)&gt;0</f>
        <v>0</v>
      </c>
      <c r="CK72" s="77" t="str">
        <f t="array" aca="1" ref="CK72" ca="1">IFERROR(SMALL(IF(CI$1:CI$100&lt;&gt;0,CI$1:CI$100),ROW(A72)),"")</f>
        <v/>
      </c>
      <c r="CL72" s="77" t="str" cm="1">
        <f t="array" aca="1" ref="CL72" ca="1">IF($CK72&lt;&gt;"",
INDIRECT(""&amp;IF(COLUMN(BY72)&lt;=26,CHAR(COLUMN(BY72)+64),CHAR(INT((COLUMN(BY72)-1)/26)+64)&amp;CHAR(MOD(COLUMN(BY72)-1,26)+65))&amp;$CK72&amp;""),"")</f>
        <v/>
      </c>
      <c r="CM72" s="77" t="str" cm="1">
        <f t="array" aca="1" ref="CM72" ca="1">IF($CK72&lt;&gt;"",
INDIRECT(""&amp;IF(COLUMN(BZ72)&lt;=26,CHAR(COLUMN(BZ72)+64),CHAR(INT((COLUMN(BZ72)-1)/26)+64)&amp;CHAR(MOD(COLUMN(BZ72)-1,26)+65))&amp;$CK72&amp;""),"")</f>
        <v/>
      </c>
      <c r="CN72" s="77" t="str" cm="1">
        <f t="array" aca="1" ref="CN72" ca="1">IF($CK72&lt;&gt;"",
INDIRECT(""&amp;IF(COLUMN(CA72)&lt;=26,CHAR(COLUMN(CA72)+64),CHAR(INT((COLUMN(CA72)-1)/26)+64)&amp;CHAR(MOD(COLUMN(CA72)-1,26)+65))&amp;$CK72&amp;""),"")</f>
        <v/>
      </c>
      <c r="CO72" s="77" t="str" cm="1">
        <f t="array" aca="1" ref="CO72" ca="1">IF($CK72&lt;&gt;"",
INDIRECT(""&amp;IF(COLUMN(CB72)&lt;=26,CHAR(COLUMN(CB72)+64),CHAR(INT((COLUMN(CB72)-1)/26)+64)&amp;CHAR(MOD(COLUMN(CB72)-1,26)+65))&amp;$CK72&amp;""),"")</f>
        <v/>
      </c>
      <c r="CP72" s="77" t="str" cm="1">
        <f t="array" aca="1" ref="CP72" ca="1">IF($CK72&lt;&gt;"",
INDIRECT(""&amp;IF(COLUMN(CC72)&lt;=26,CHAR(COLUMN(CC72)+64),CHAR(INT((COLUMN(CC72)-1)/26)+64)&amp;CHAR(MOD(COLUMN(CC72)-1,26)+65))&amp;$CK72&amp;""),"")</f>
        <v/>
      </c>
      <c r="CQ72" s="77" t="str" cm="1">
        <f t="array" aca="1" ref="CQ72" ca="1">IF($CK72&lt;&gt;"",
INDIRECT(""&amp;IF(COLUMN(CD72)&lt;=26,CHAR(COLUMN(CD72)+64),CHAR(INT((COLUMN(CD72)-1)/26)+64)&amp;CHAR(MOD(COLUMN(CD72)-1,26)+65))&amp;$CK72&amp;""),"")</f>
        <v/>
      </c>
      <c r="CR72" s="77" t="str" cm="1">
        <f t="array" aca="1" ref="CR72" ca="1">IF($CK72&lt;&gt;"",
INDIRECT(""&amp;IF(COLUMN(CE72)&lt;=26,CHAR(COLUMN(CE72)+64),CHAR(INT((COLUMN(CE72)-1)/26)+64)&amp;CHAR(MOD(COLUMN(CE72)-1,26)+65))&amp;$CK72&amp;""),"")</f>
        <v/>
      </c>
      <c r="CS72" s="77" t="str" cm="1">
        <f t="array" aca="1" ref="CS72" ca="1">IF($CK72&lt;&gt;"",
INDIRECT(""&amp;IF(COLUMN(CF72)&lt;=26,CHAR(COLUMN(CF72)+64),CHAR(INT((COLUMN(CF72)-1)/26)+64)&amp;CHAR(MOD(COLUMN(CF72)-1,26)+65))&amp;$CK72&amp;""),"")</f>
        <v/>
      </c>
      <c r="CT72" s="77" t="str" cm="1">
        <f t="array" aca="1" ref="CT72" ca="1">IF($CK72&lt;&gt;"",
INDIRECT(""&amp;IF(COLUMN(CG72)&lt;=26,CHAR(COLUMN(CG72)+64),CHAR(INT((COLUMN(CG72)-1)/26)+64)&amp;CHAR(MOD(COLUMN(CG72)-1,26)+65))&amp;$CK72&amp;""),"")</f>
        <v/>
      </c>
      <c r="CU72" s="77" t="str" cm="1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77" customFormat="1" ht="22.2" x14ac:dyDescent="0.55000000000000004">
      <c r="A73" s="53"/>
      <c r="B73" s="85"/>
      <c r="C73" s="86" t="str">
        <f ca="1">IF(C74&lt;&gt;"","園児","")</f>
        <v/>
      </c>
      <c r="D73" s="87"/>
      <c r="E73" s="96" t="str">
        <f ca="1">IF(C74&lt;&gt;"","先生","")</f>
        <v/>
      </c>
      <c r="F73" s="87"/>
      <c r="G73" s="101"/>
      <c r="H73" s="53"/>
      <c r="I73" s="85"/>
      <c r="J73" s="86" t="str">
        <f ca="1">IF(J74&lt;&gt;"","園児","")</f>
        <v/>
      </c>
      <c r="K73" s="87"/>
      <c r="L73" s="96" t="str">
        <f ca="1">IF(J74&lt;&gt;"","先生","")</f>
        <v/>
      </c>
      <c r="M73" s="87"/>
      <c r="N73" s="101"/>
      <c r="O73" s="53"/>
      <c r="P73" s="53"/>
      <c r="Q73" s="85"/>
      <c r="R73" s="86" t="str">
        <f ca="1">IF(R74&lt;&gt;"","園児","")</f>
        <v/>
      </c>
      <c r="S73" s="87"/>
      <c r="T73" s="96" t="str">
        <f ca="1">IF(R74&lt;&gt;"","先生","")</f>
        <v/>
      </c>
      <c r="U73" s="87"/>
      <c r="V73" s="101"/>
      <c r="W73" s="53"/>
      <c r="X73" s="85"/>
      <c r="Y73" s="86" t="str">
        <f ca="1">IF(Y74&lt;&gt;"","園児","")</f>
        <v/>
      </c>
      <c r="Z73" s="87"/>
      <c r="AA73" s="96" t="str">
        <f ca="1">IF(Y74&lt;&gt;"","先生","")</f>
        <v/>
      </c>
      <c r="AB73" s="87"/>
      <c r="AC73" s="101"/>
      <c r="AD73" s="53"/>
      <c r="AE73" s="53"/>
      <c r="AF73" s="85"/>
      <c r="AG73" s="86" t="str">
        <f ca="1">IF(AG74&lt;&gt;"","園児","")</f>
        <v/>
      </c>
      <c r="AH73" s="87"/>
      <c r="AI73" s="96" t="str">
        <f ca="1">IF(AG74&lt;&gt;"","先生","")</f>
        <v/>
      </c>
      <c r="AJ73" s="87"/>
      <c r="AK73" s="101"/>
      <c r="AL73" s="53"/>
      <c r="AM73" s="85"/>
      <c r="AN73" s="86" t="str">
        <f ca="1">IF(AN74&lt;&gt;"","園児","")</f>
        <v/>
      </c>
      <c r="AO73" s="87"/>
      <c r="AP73" s="96" t="str">
        <f ca="1">IF(AN74&lt;&gt;"","先生","")</f>
        <v/>
      </c>
      <c r="AQ73" s="87"/>
      <c r="AR73" s="101"/>
      <c r="AS73" s="53"/>
      <c r="AT73" s="53"/>
      <c r="AU73" s="85"/>
      <c r="AV73" s="86" t="str">
        <f ca="1">IF(AV74&lt;&gt;"","園児","")</f>
        <v/>
      </c>
      <c r="AW73" s="87"/>
      <c r="AX73" s="96" t="str">
        <f ca="1">IF(AV74&lt;&gt;"","先生","")</f>
        <v/>
      </c>
      <c r="AY73" s="87"/>
      <c r="AZ73" s="101"/>
      <c r="BA73" s="53"/>
      <c r="BB73" s="85"/>
      <c r="BC73" s="86" t="str">
        <f ca="1">IF(BC74&lt;&gt;"","園児","")</f>
        <v/>
      </c>
      <c r="BD73" s="87"/>
      <c r="BE73" s="96" t="str">
        <f ca="1">IF(BC74&lt;&gt;"","先生","")</f>
        <v/>
      </c>
      <c r="BF73" s="87"/>
      <c r="BG73" s="101"/>
      <c r="BH73" s="53"/>
      <c r="BI73" s="53"/>
      <c r="BJ73" s="85"/>
      <c r="BK73" s="86" t="str">
        <f ca="1">IF(BK74&lt;&gt;"","園児","")</f>
        <v/>
      </c>
      <c r="BL73" s="87"/>
      <c r="BM73" s="96" t="str">
        <f ca="1">IF(BK74&lt;&gt;"","先生","")</f>
        <v/>
      </c>
      <c r="BN73" s="87"/>
      <c r="BO73" s="101"/>
      <c r="BP73" s="53"/>
      <c r="BQ73" s="85"/>
      <c r="BR73" s="86" t="str">
        <f ca="1">IF(BR74&lt;&gt;"","園児","")</f>
        <v/>
      </c>
      <c r="BS73" s="87"/>
      <c r="BT73" s="96" t="str">
        <f ca="1">IF(BR74&lt;&gt;"","先生","")</f>
        <v/>
      </c>
      <c r="BU73" s="87"/>
      <c r="BV73" s="101"/>
      <c r="BW73" s="53"/>
      <c r="BY73" s="115" t="str">
        <f ca="1">AV1</f>
        <v/>
      </c>
      <c r="BZ73" s="115" t="str">
        <f ca="1">AV2</f>
        <v/>
      </c>
      <c r="CA73" s="115" t="str">
        <f ca="1">AX2</f>
        <v/>
      </c>
      <c r="CB73" s="116" t="str">
        <f ca="1">AY2</f>
        <v/>
      </c>
      <c r="CC73" s="115" t="str">
        <f ca="1">AV4</f>
        <v/>
      </c>
      <c r="CD73" s="115" t="str">
        <f ca="1">AX4</f>
        <v/>
      </c>
      <c r="CE73" s="115" t="str">
        <f ca="1">AV6</f>
        <v/>
      </c>
      <c r="CF73" s="115" t="str">
        <f ca="1">AU7</f>
        <v/>
      </c>
      <c r="CG73" s="115" t="str">
        <f ca="1">AW7</f>
        <v/>
      </c>
      <c r="CH73" s="115" t="str">
        <f ca="1">AY7</f>
        <v/>
      </c>
      <c r="CI73" s="77">
        <f t="shared" ca="1" si="1"/>
        <v>0</v>
      </c>
      <c r="CJ73" s="77" t="b" cm="1">
        <f t="array" aca="1" ref="CJ73" ca="1">SUMPRODUCT((LEN(BY73:CH73)&gt;0)*1)&gt;0</f>
        <v>0</v>
      </c>
      <c r="CK73" s="77" t="str">
        <f t="array" aca="1" ref="CK73" ca="1">IFERROR(SMALL(IF(CI$1:CI$100&lt;&gt;0,CI$1:CI$100),ROW(A73)),"")</f>
        <v/>
      </c>
      <c r="CL73" s="77" t="str" cm="1">
        <f t="array" aca="1" ref="CL73" ca="1">IF($CK73&lt;&gt;"",
INDIRECT(""&amp;IF(COLUMN(BY73)&lt;=26,CHAR(COLUMN(BY73)+64),CHAR(INT((COLUMN(BY73)-1)/26)+64)&amp;CHAR(MOD(COLUMN(BY73)-1,26)+65))&amp;$CK73&amp;""),"")</f>
        <v/>
      </c>
      <c r="CM73" s="77" t="str" cm="1">
        <f t="array" aca="1" ref="CM73" ca="1">IF($CK73&lt;&gt;"",
INDIRECT(""&amp;IF(COLUMN(BZ73)&lt;=26,CHAR(COLUMN(BZ73)+64),CHAR(INT((COLUMN(BZ73)-1)/26)+64)&amp;CHAR(MOD(COLUMN(BZ73)-1,26)+65))&amp;$CK73&amp;""),"")</f>
        <v/>
      </c>
      <c r="CN73" s="77" t="str" cm="1">
        <f t="array" aca="1" ref="CN73" ca="1">IF($CK73&lt;&gt;"",
INDIRECT(""&amp;IF(COLUMN(CA73)&lt;=26,CHAR(COLUMN(CA73)+64),CHAR(INT((COLUMN(CA73)-1)/26)+64)&amp;CHAR(MOD(COLUMN(CA73)-1,26)+65))&amp;$CK73&amp;""),"")</f>
        <v/>
      </c>
      <c r="CO73" s="77" t="str" cm="1">
        <f t="array" aca="1" ref="CO73" ca="1">IF($CK73&lt;&gt;"",
INDIRECT(""&amp;IF(COLUMN(CB73)&lt;=26,CHAR(COLUMN(CB73)+64),CHAR(INT((COLUMN(CB73)-1)/26)+64)&amp;CHAR(MOD(COLUMN(CB73)-1,26)+65))&amp;$CK73&amp;""),"")</f>
        <v/>
      </c>
      <c r="CP73" s="77" t="str" cm="1">
        <f t="array" aca="1" ref="CP73" ca="1">IF($CK73&lt;&gt;"",
INDIRECT(""&amp;IF(COLUMN(CC73)&lt;=26,CHAR(COLUMN(CC73)+64),CHAR(INT((COLUMN(CC73)-1)/26)+64)&amp;CHAR(MOD(COLUMN(CC73)-1,26)+65))&amp;$CK73&amp;""),"")</f>
        <v/>
      </c>
      <c r="CQ73" s="77" t="str" cm="1">
        <f t="array" aca="1" ref="CQ73" ca="1">IF($CK73&lt;&gt;"",
INDIRECT(""&amp;IF(COLUMN(CD73)&lt;=26,CHAR(COLUMN(CD73)+64),CHAR(INT((COLUMN(CD73)-1)/26)+64)&amp;CHAR(MOD(COLUMN(CD73)-1,26)+65))&amp;$CK73&amp;""),"")</f>
        <v/>
      </c>
      <c r="CR73" s="77" t="str" cm="1">
        <f t="array" aca="1" ref="CR73" ca="1">IF($CK73&lt;&gt;"",
INDIRECT(""&amp;IF(COLUMN(CE73)&lt;=26,CHAR(COLUMN(CE73)+64),CHAR(INT((COLUMN(CE73)-1)/26)+64)&amp;CHAR(MOD(COLUMN(CE73)-1,26)+65))&amp;$CK73&amp;""),"")</f>
        <v/>
      </c>
      <c r="CS73" s="77" t="str" cm="1">
        <f t="array" aca="1" ref="CS73" ca="1">IF($CK73&lt;&gt;"",
INDIRECT(""&amp;IF(COLUMN(CF73)&lt;=26,CHAR(COLUMN(CF73)+64),CHAR(INT((COLUMN(CF73)-1)/26)+64)&amp;CHAR(MOD(COLUMN(CF73)-1,26)+65))&amp;$CK73&amp;""),"")</f>
        <v/>
      </c>
      <c r="CT73" s="77" t="str" cm="1">
        <f t="array" aca="1" ref="CT73" ca="1">IF($CK73&lt;&gt;"",
INDIRECT(""&amp;IF(COLUMN(CG73)&lt;=26,CHAR(COLUMN(CG73)+64),CHAR(INT((COLUMN(CG73)-1)/26)+64)&amp;CHAR(MOD(COLUMN(CG73)-1,26)+65))&amp;$CK73&amp;""),"")</f>
        <v/>
      </c>
      <c r="CU73" s="77" t="str" cm="1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1"/>
      <c r="C74" s="9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91"/>
      <c r="E74" s="9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91"/>
      <c r="G74" s="101"/>
      <c r="I74" s="11"/>
      <c r="J74" s="9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91"/>
      <c r="L74" s="9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91"/>
      <c r="N74" s="101"/>
      <c r="Q74" s="11"/>
      <c r="R74" s="9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91"/>
      <c r="T74" s="9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91"/>
      <c r="V74" s="101"/>
      <c r="X74" s="11"/>
      <c r="Y74" s="9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91"/>
      <c r="AA74" s="9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91"/>
      <c r="AC74" s="101"/>
      <c r="AF74" s="11"/>
      <c r="AG74" s="9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91"/>
      <c r="AI74" s="9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91"/>
      <c r="AK74" s="101"/>
      <c r="AM74" s="11"/>
      <c r="AN74" s="9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91"/>
      <c r="AP74" s="9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91"/>
      <c r="AR74" s="101"/>
      <c r="AU74" s="11"/>
      <c r="AV74" s="9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91"/>
      <c r="AX74" s="9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91"/>
      <c r="AZ74" s="101"/>
      <c r="BB74" s="11"/>
      <c r="BC74" s="9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91"/>
      <c r="BE74" s="9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91"/>
      <c r="BG74" s="101"/>
      <c r="BJ74" s="11"/>
      <c r="BK74" s="9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91"/>
      <c r="BM74" s="9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91"/>
      <c r="BO74" s="101"/>
      <c r="BQ74" s="11"/>
      <c r="BR74" s="9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91"/>
      <c r="BT74" s="9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91"/>
      <c r="BV74" s="101"/>
      <c r="BX74" s="77">
        <v>42</v>
      </c>
      <c r="BY74" s="77" t="str" cm="1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77" t="str" cm="1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77" t="str" cm="1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77" t="str" cm="1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77" t="str" cm="1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77" t="str" cm="1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77" t="str" cm="1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77" t="str" cm="1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77" t="str" cm="1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77" t="str" cm="1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77">
        <f t="shared" ca="1" si="1"/>
        <v>0</v>
      </c>
      <c r="CJ74" s="77" t="b" cm="1">
        <f t="array" aca="1" ref="CJ74" ca="1">SUMPRODUCT((LEN(BY74:CH74)&gt;0)*1)&gt;0</f>
        <v>0</v>
      </c>
      <c r="CK74" s="77" t="str">
        <f t="array" aca="1" ref="CK74" ca="1">IFERROR(SMALL(IF(CI$1:CI$100&lt;&gt;0,CI$1:CI$100),ROW(A74)),"")</f>
        <v/>
      </c>
      <c r="CL74" s="77" t="str" cm="1">
        <f t="array" aca="1" ref="CL74" ca="1">IF($CK74&lt;&gt;"",
INDIRECT(""&amp;IF(COLUMN(BY74)&lt;=26,CHAR(COLUMN(BY74)+64),CHAR(INT((COLUMN(BY74)-1)/26)+64)&amp;CHAR(MOD(COLUMN(BY74)-1,26)+65))&amp;$CK74&amp;""),"")</f>
        <v/>
      </c>
      <c r="CM74" s="77" t="str" cm="1">
        <f t="array" aca="1" ref="CM74" ca="1">IF($CK74&lt;&gt;"",
INDIRECT(""&amp;IF(COLUMN(BZ74)&lt;=26,CHAR(COLUMN(BZ74)+64),CHAR(INT((COLUMN(BZ74)-1)/26)+64)&amp;CHAR(MOD(COLUMN(BZ74)-1,26)+65))&amp;$CK74&amp;""),"")</f>
        <v/>
      </c>
      <c r="CN74" s="77" t="str" cm="1">
        <f t="array" aca="1" ref="CN74" ca="1">IF($CK74&lt;&gt;"",
INDIRECT(""&amp;IF(COLUMN(CA74)&lt;=26,CHAR(COLUMN(CA74)+64),CHAR(INT((COLUMN(CA74)-1)/26)+64)&amp;CHAR(MOD(COLUMN(CA74)-1,26)+65))&amp;$CK74&amp;""),"")</f>
        <v/>
      </c>
      <c r="CO74" s="77" t="str" cm="1">
        <f t="array" aca="1" ref="CO74" ca="1">IF($CK74&lt;&gt;"",
INDIRECT(""&amp;IF(COLUMN(CB74)&lt;=26,CHAR(COLUMN(CB74)+64),CHAR(INT((COLUMN(CB74)-1)/26)+64)&amp;CHAR(MOD(COLUMN(CB74)-1,26)+65))&amp;$CK74&amp;""),"")</f>
        <v/>
      </c>
      <c r="CP74" s="77" t="str" cm="1">
        <f t="array" aca="1" ref="CP74" ca="1">IF($CK74&lt;&gt;"",
INDIRECT(""&amp;IF(COLUMN(CC74)&lt;=26,CHAR(COLUMN(CC74)+64),CHAR(INT((COLUMN(CC74)-1)/26)+64)&amp;CHAR(MOD(COLUMN(CC74)-1,26)+65))&amp;$CK74&amp;""),"")</f>
        <v/>
      </c>
      <c r="CQ74" s="77" t="str" cm="1">
        <f t="array" aca="1" ref="CQ74" ca="1">IF($CK74&lt;&gt;"",
INDIRECT(""&amp;IF(COLUMN(CD74)&lt;=26,CHAR(COLUMN(CD74)+64),CHAR(INT((COLUMN(CD74)-1)/26)+64)&amp;CHAR(MOD(COLUMN(CD74)-1,26)+65))&amp;$CK74&amp;""),"")</f>
        <v/>
      </c>
      <c r="CR74" s="77" t="str" cm="1">
        <f t="array" aca="1" ref="CR74" ca="1">IF($CK74&lt;&gt;"",
INDIRECT(""&amp;IF(COLUMN(CE74)&lt;=26,CHAR(COLUMN(CE74)+64),CHAR(INT((COLUMN(CE74)-1)/26)+64)&amp;CHAR(MOD(COLUMN(CE74)-1,26)+65))&amp;$CK74&amp;""),"")</f>
        <v/>
      </c>
      <c r="CS74" s="77" t="str" cm="1">
        <f t="array" aca="1" ref="CS74" ca="1">IF($CK74&lt;&gt;"",
INDIRECT(""&amp;IF(COLUMN(CF74)&lt;=26,CHAR(COLUMN(CF74)+64),CHAR(INT((COLUMN(CF74)-1)/26)+64)&amp;CHAR(MOD(COLUMN(CF74)-1,26)+65))&amp;$CK74&amp;""),"")</f>
        <v/>
      </c>
      <c r="CT74" s="77" t="str" cm="1">
        <f t="array" aca="1" ref="CT74" ca="1">IF($CK74&lt;&gt;"",
INDIRECT(""&amp;IF(COLUMN(CG74)&lt;=26,CHAR(COLUMN(CG74)+64),CHAR(INT((COLUMN(CG74)-1)/26)+64)&amp;CHAR(MOD(COLUMN(CG74)-1,26)+65))&amp;$CK74&amp;""),"")</f>
        <v/>
      </c>
      <c r="CU74" s="77" t="str" cm="1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8"/>
      <c r="C75" s="92"/>
      <c r="D75" s="92"/>
      <c r="E75" s="92"/>
      <c r="F75" s="92"/>
      <c r="G75" s="102"/>
      <c r="I75" s="8"/>
      <c r="J75" s="92"/>
      <c r="K75" s="92"/>
      <c r="L75" s="92"/>
      <c r="M75" s="92"/>
      <c r="N75" s="102"/>
      <c r="Q75" s="8"/>
      <c r="R75" s="92"/>
      <c r="S75" s="92"/>
      <c r="T75" s="92"/>
      <c r="U75" s="92"/>
      <c r="V75" s="102"/>
      <c r="X75" s="8"/>
      <c r="Y75" s="92"/>
      <c r="Z75" s="92"/>
      <c r="AA75" s="92"/>
      <c r="AB75" s="92"/>
      <c r="AC75" s="102"/>
      <c r="AF75" s="8"/>
      <c r="AG75" s="92"/>
      <c r="AH75" s="92"/>
      <c r="AI75" s="92"/>
      <c r="AJ75" s="92"/>
      <c r="AK75" s="102"/>
      <c r="AM75" s="8"/>
      <c r="AN75" s="92"/>
      <c r="AO75" s="92"/>
      <c r="AP75" s="92"/>
      <c r="AQ75" s="92"/>
      <c r="AR75" s="102"/>
      <c r="AU75" s="8"/>
      <c r="AV75" s="92"/>
      <c r="AW75" s="92"/>
      <c r="AX75" s="92"/>
      <c r="AY75" s="92"/>
      <c r="AZ75" s="102"/>
      <c r="BB75" s="8"/>
      <c r="BC75" s="92"/>
      <c r="BD75" s="92"/>
      <c r="BE75" s="92"/>
      <c r="BF75" s="92"/>
      <c r="BG75" s="102"/>
      <c r="BJ75" s="8"/>
      <c r="BK75" s="92"/>
      <c r="BL75" s="92"/>
      <c r="BM75" s="92"/>
      <c r="BN75" s="92"/>
      <c r="BO75" s="102"/>
      <c r="BQ75" s="8"/>
      <c r="BR75" s="92"/>
      <c r="BS75" s="92"/>
      <c r="BT75" s="92"/>
      <c r="BU75" s="92"/>
      <c r="BV75" s="102"/>
      <c r="BX75" s="77"/>
      <c r="BY75" s="115" t="str">
        <f ca="1">BC1</f>
        <v/>
      </c>
      <c r="BZ75" s="115" t="str">
        <f ca="1">BC2</f>
        <v/>
      </c>
      <c r="CA75" s="115" t="str">
        <f ca="1">BE2</f>
        <v/>
      </c>
      <c r="CB75" s="116" t="str">
        <f ca="1">BF2</f>
        <v/>
      </c>
      <c r="CC75" s="115" t="str">
        <f ca="1">BC4</f>
        <v/>
      </c>
      <c r="CD75" s="115" t="str">
        <f ca="1">BE4</f>
        <v/>
      </c>
      <c r="CE75" s="115" t="str">
        <f ca="1">BC6</f>
        <v/>
      </c>
      <c r="CF75" s="115" t="str">
        <f ca="1">BB7</f>
        <v/>
      </c>
      <c r="CG75" s="115" t="str">
        <f ca="1">BD7</f>
        <v/>
      </c>
      <c r="CH75" s="115" t="str">
        <f ca="1">BF7</f>
        <v/>
      </c>
      <c r="CI75" s="77">
        <f t="shared" ca="1" si="1"/>
        <v>0</v>
      </c>
      <c r="CJ75" s="77" t="b" cm="1">
        <f t="array" aca="1" ref="CJ75" ca="1">SUMPRODUCT((LEN(BY75:CH75)&gt;0)*1)&gt;0</f>
        <v>0</v>
      </c>
      <c r="CK75" s="77" t="str">
        <f t="array" aca="1" ref="CK75" ca="1">IFERROR(SMALL(IF(CI$1:CI$100&lt;&gt;0,CI$1:CI$100),ROW(A75)),"")</f>
        <v/>
      </c>
      <c r="CL75" s="77" t="str" cm="1">
        <f t="array" aca="1" ref="CL75" ca="1">IF($CK75&lt;&gt;"",
INDIRECT(""&amp;IF(COLUMN(BY75)&lt;=26,CHAR(COLUMN(BY75)+64),CHAR(INT((COLUMN(BY75)-1)/26)+64)&amp;CHAR(MOD(COLUMN(BY75)-1,26)+65))&amp;$CK75&amp;""),"")</f>
        <v/>
      </c>
      <c r="CM75" s="77" t="str" cm="1">
        <f t="array" aca="1" ref="CM75" ca="1">IF($CK75&lt;&gt;"",
INDIRECT(""&amp;IF(COLUMN(BZ75)&lt;=26,CHAR(COLUMN(BZ75)+64),CHAR(INT((COLUMN(BZ75)-1)/26)+64)&amp;CHAR(MOD(COLUMN(BZ75)-1,26)+65))&amp;$CK75&amp;""),"")</f>
        <v/>
      </c>
      <c r="CN75" s="77" t="str" cm="1">
        <f t="array" aca="1" ref="CN75" ca="1">IF($CK75&lt;&gt;"",
INDIRECT(""&amp;IF(COLUMN(CA75)&lt;=26,CHAR(COLUMN(CA75)+64),CHAR(INT((COLUMN(CA75)-1)/26)+64)&amp;CHAR(MOD(COLUMN(CA75)-1,26)+65))&amp;$CK75&amp;""),"")</f>
        <v/>
      </c>
      <c r="CO75" s="77" t="str" cm="1">
        <f t="array" aca="1" ref="CO75" ca="1">IF($CK75&lt;&gt;"",
INDIRECT(""&amp;IF(COLUMN(CB75)&lt;=26,CHAR(COLUMN(CB75)+64),CHAR(INT((COLUMN(CB75)-1)/26)+64)&amp;CHAR(MOD(COLUMN(CB75)-1,26)+65))&amp;$CK75&amp;""),"")</f>
        <v/>
      </c>
      <c r="CP75" s="77" t="str" cm="1">
        <f t="array" aca="1" ref="CP75" ca="1">IF($CK75&lt;&gt;"",
INDIRECT(""&amp;IF(COLUMN(CC75)&lt;=26,CHAR(COLUMN(CC75)+64),CHAR(INT((COLUMN(CC75)-1)/26)+64)&amp;CHAR(MOD(COLUMN(CC75)-1,26)+65))&amp;$CK75&amp;""),"")</f>
        <v/>
      </c>
      <c r="CQ75" s="77" t="str" cm="1">
        <f t="array" aca="1" ref="CQ75" ca="1">IF($CK75&lt;&gt;"",
INDIRECT(""&amp;IF(COLUMN(CD75)&lt;=26,CHAR(COLUMN(CD75)+64),CHAR(INT((COLUMN(CD75)-1)/26)+64)&amp;CHAR(MOD(COLUMN(CD75)-1,26)+65))&amp;$CK75&amp;""),"")</f>
        <v/>
      </c>
      <c r="CR75" s="77" t="str" cm="1">
        <f t="array" aca="1" ref="CR75" ca="1">IF($CK75&lt;&gt;"",
INDIRECT(""&amp;IF(COLUMN(CE75)&lt;=26,CHAR(COLUMN(CE75)+64),CHAR(INT((COLUMN(CE75)-1)/26)+64)&amp;CHAR(MOD(COLUMN(CE75)-1,26)+65))&amp;$CK75&amp;""),"")</f>
        <v/>
      </c>
      <c r="CS75" s="77" t="str" cm="1">
        <f t="array" aca="1" ref="CS75" ca="1">IF($CK75&lt;&gt;"",
INDIRECT(""&amp;IF(COLUMN(CF75)&lt;=26,CHAR(COLUMN(CF75)+64),CHAR(INT((COLUMN(CF75)-1)/26)+64)&amp;CHAR(MOD(COLUMN(CF75)-1,26)+65))&amp;$CK75&amp;""),"")</f>
        <v/>
      </c>
      <c r="CT75" s="77" t="str" cm="1">
        <f t="array" aca="1" ref="CT75" ca="1">IF($CK75&lt;&gt;"",
INDIRECT(""&amp;IF(COLUMN(CG75)&lt;=26,CHAR(COLUMN(CG75)+64),CHAR(INT((COLUMN(CG75)-1)/26)+64)&amp;CHAR(MOD(COLUMN(CG75)-1,26)+65))&amp;$CK75&amp;""),"")</f>
        <v/>
      </c>
      <c r="CU75" s="77" t="str" cm="1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77" customFormat="1" ht="22.2" x14ac:dyDescent="0.55000000000000004">
      <c r="A76" s="53"/>
      <c r="B76" s="84" t="str">
        <f ca="1">IF(C74&lt;&gt;"","パン箱","")</f>
        <v/>
      </c>
      <c r="C76" s="82" t="str">
        <f ca="1">IF(C74&lt;&gt;"",IF(OR(COUNTIF('盛付札（関数）'!C72,"*キャラ*"),COUNTIF('盛付札（関数）'!C72,"*赤*")),24,
VLOOKUP('盛付札（関数）'!C72,商品マスタ一覧!$D:$I,6,FALSE)),"")</f>
        <v/>
      </c>
      <c r="D76" s="84" t="str">
        <f ca="1">IF(C74&lt;&gt;"","　端数","")</f>
        <v/>
      </c>
      <c r="E76" s="82"/>
      <c r="F76" s="84" t="str">
        <f ca="1">IF(C74&lt;&gt;"","アレルギー","")</f>
        <v/>
      </c>
      <c r="G76" s="101"/>
      <c r="H76" s="53"/>
      <c r="I76" s="84" t="str">
        <f ca="1">IF(J74&lt;&gt;"","パン箱","")</f>
        <v/>
      </c>
      <c r="J76" s="82" t="str">
        <f ca="1">IF(J74&lt;&gt;"",IF(OR(COUNTIF('盛付札（関数）'!J72,"*キャラ*"),COUNTIF('盛付札（関数）'!J72,"*赤*")),24,
VLOOKUP('盛付札（関数）'!J72,商品マスタ一覧!$D:$I,6,FALSE)),"")</f>
        <v/>
      </c>
      <c r="K76" s="84" t="str">
        <f ca="1">IF(J74&lt;&gt;"","　端数","")</f>
        <v/>
      </c>
      <c r="L76" s="82"/>
      <c r="M76" s="84" t="str">
        <f ca="1">IF(J74&lt;&gt;"","アレルギー","")</f>
        <v/>
      </c>
      <c r="N76" s="101"/>
      <c r="O76" s="53"/>
      <c r="P76" s="53"/>
      <c r="Q76" s="84" t="str">
        <f ca="1">IF(R74&lt;&gt;"","パン箱","")</f>
        <v/>
      </c>
      <c r="R76" s="82" t="str">
        <f ca="1">IF(R74&lt;&gt;"",IF(OR(COUNTIF('盛付札（関数）'!R72,"*キャラ*"),COUNTIF('盛付札（関数）'!R72,"*赤*")),24,
VLOOKUP('盛付札（関数）'!R72,商品マスタ一覧!$D:$I,6,FALSE)),"")</f>
        <v/>
      </c>
      <c r="S76" s="84" t="str">
        <f ca="1">IF(R74&lt;&gt;"","　端数","")</f>
        <v/>
      </c>
      <c r="T76" s="82"/>
      <c r="U76" s="84" t="str">
        <f ca="1">IF(R74&lt;&gt;"","アレルギー","")</f>
        <v/>
      </c>
      <c r="V76" s="101"/>
      <c r="W76" s="53"/>
      <c r="X76" s="84" t="str">
        <f ca="1">IF(Y74&lt;&gt;"","パン箱","")</f>
        <v/>
      </c>
      <c r="Y76" s="82" t="str">
        <f ca="1">IF(Y74&lt;&gt;"",IF(OR(COUNTIF('盛付札（関数）'!Y72,"*キャラ*"),COUNTIF('盛付札（関数）'!Y72,"*赤*")),24,
VLOOKUP('盛付札（関数）'!Y72,商品マスタ一覧!$D:$I,6,FALSE)),"")</f>
        <v/>
      </c>
      <c r="Z76" s="84" t="str">
        <f ca="1">IF(Y74&lt;&gt;"","　端数","")</f>
        <v/>
      </c>
      <c r="AA76" s="82"/>
      <c r="AB76" s="84" t="str">
        <f ca="1">IF(Y74&lt;&gt;"","アレルギー","")</f>
        <v/>
      </c>
      <c r="AC76" s="101"/>
      <c r="AD76" s="53"/>
      <c r="AE76" s="53"/>
      <c r="AF76" s="84" t="str">
        <f ca="1">IF(AG74&lt;&gt;"","パン箱","")</f>
        <v/>
      </c>
      <c r="AG76" s="82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84" t="str">
        <f ca="1">IF(AG74&lt;&gt;"","　端数","")</f>
        <v/>
      </c>
      <c r="AI76" s="82"/>
      <c r="AJ76" s="84" t="str">
        <f ca="1">IF(AG74&lt;&gt;"","アレルギー","")</f>
        <v/>
      </c>
      <c r="AK76" s="101"/>
      <c r="AL76" s="53"/>
      <c r="AM76" s="84" t="str">
        <f ca="1">IF(AN74&lt;&gt;"","パン箱","")</f>
        <v/>
      </c>
      <c r="AN76" s="82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84" t="str">
        <f ca="1">IF(AN74&lt;&gt;"","　端数","")</f>
        <v/>
      </c>
      <c r="AP76" s="82"/>
      <c r="AQ76" s="84" t="str">
        <f ca="1">IF(AN74&lt;&gt;"","アレルギー","")</f>
        <v/>
      </c>
      <c r="AR76" s="101"/>
      <c r="AS76" s="53"/>
      <c r="AT76" s="53"/>
      <c r="AU76" s="84" t="str">
        <f ca="1">IF(AV74&lt;&gt;"","パン箱","")</f>
        <v/>
      </c>
      <c r="AV76" s="82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84" t="str">
        <f ca="1">IF(AV74&lt;&gt;"","　端数","")</f>
        <v/>
      </c>
      <c r="AX76" s="82"/>
      <c r="AY76" s="84" t="str">
        <f ca="1">IF(AV74&lt;&gt;"","アレルギー","")</f>
        <v/>
      </c>
      <c r="AZ76" s="101"/>
      <c r="BA76" s="53"/>
      <c r="BB76" s="84" t="str">
        <f ca="1">IF(BC74&lt;&gt;"","パン箱","")</f>
        <v/>
      </c>
      <c r="BC76" s="82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84" t="str">
        <f ca="1">IF(BC74&lt;&gt;"","　端数","")</f>
        <v/>
      </c>
      <c r="BE76" s="82"/>
      <c r="BF76" s="84" t="str">
        <f ca="1">IF(BC74&lt;&gt;"","アレルギー","")</f>
        <v/>
      </c>
      <c r="BG76" s="101"/>
      <c r="BH76" s="53"/>
      <c r="BI76" s="53"/>
      <c r="BJ76" s="84" t="str">
        <f ca="1">IF(BK74&lt;&gt;"","パン箱","")</f>
        <v/>
      </c>
      <c r="BK76" s="82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84" t="str">
        <f ca="1">IF(BK74&lt;&gt;"","　端数","")</f>
        <v/>
      </c>
      <c r="BM76" s="82"/>
      <c r="BN76" s="84" t="str">
        <f ca="1">IF(BK74&lt;&gt;"","アレルギー","")</f>
        <v/>
      </c>
      <c r="BO76" s="101"/>
      <c r="BP76" s="53"/>
      <c r="BQ76" s="84" t="str">
        <f ca="1">IF(BR74&lt;&gt;"","パン箱","")</f>
        <v/>
      </c>
      <c r="BR76" s="82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84" t="str">
        <f ca="1">IF(BR74&lt;&gt;"","　端数","")</f>
        <v/>
      </c>
      <c r="BT76" s="82"/>
      <c r="BU76" s="84" t="str">
        <f ca="1">IF(BR74&lt;&gt;"","アレルギー","")</f>
        <v/>
      </c>
      <c r="BV76" s="101"/>
      <c r="BW76" s="53"/>
      <c r="BX76" s="77">
        <v>42</v>
      </c>
      <c r="BY76" s="77" t="str" cm="1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77" t="str" cm="1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77" t="str" cm="1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77" t="str" cm="1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77" t="str" cm="1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77" t="str" cm="1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77" t="str" cm="1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77" t="str" cm="1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77" t="str" cm="1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77" t="str" cm="1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77">
        <f t="shared" ca="1" si="1"/>
        <v>0</v>
      </c>
      <c r="CJ76" s="77" t="b" cm="1">
        <f t="array" aca="1" ref="CJ76" ca="1">SUMPRODUCT((LEN(BY76:CH76)&gt;0)*1)&gt;0</f>
        <v>0</v>
      </c>
      <c r="CK76" s="77" t="str">
        <f t="array" aca="1" ref="CK76" ca="1">IFERROR(SMALL(IF(CI$1:CI$100&lt;&gt;0,CI$1:CI$100),ROW(A76)),"")</f>
        <v/>
      </c>
      <c r="CL76" s="77" t="str" cm="1">
        <f t="array" aca="1" ref="CL76" ca="1">IF($CK76&lt;&gt;"",
INDIRECT(""&amp;IF(COLUMN(BY76)&lt;=26,CHAR(COLUMN(BY76)+64),CHAR(INT((COLUMN(BY76)-1)/26)+64)&amp;CHAR(MOD(COLUMN(BY76)-1,26)+65))&amp;$CK76&amp;""),"")</f>
        <v/>
      </c>
      <c r="CM76" s="77" t="str" cm="1">
        <f t="array" aca="1" ref="CM76" ca="1">IF($CK76&lt;&gt;"",
INDIRECT(""&amp;IF(COLUMN(BZ76)&lt;=26,CHAR(COLUMN(BZ76)+64),CHAR(INT((COLUMN(BZ76)-1)/26)+64)&amp;CHAR(MOD(COLUMN(BZ76)-1,26)+65))&amp;$CK76&amp;""),"")</f>
        <v/>
      </c>
      <c r="CN76" s="77" t="str" cm="1">
        <f t="array" aca="1" ref="CN76" ca="1">IF($CK76&lt;&gt;"",
INDIRECT(""&amp;IF(COLUMN(CA76)&lt;=26,CHAR(COLUMN(CA76)+64),CHAR(INT((COLUMN(CA76)-1)/26)+64)&amp;CHAR(MOD(COLUMN(CA76)-1,26)+65))&amp;$CK76&amp;""),"")</f>
        <v/>
      </c>
      <c r="CO76" s="77" t="str" cm="1">
        <f t="array" aca="1" ref="CO76" ca="1">IF($CK76&lt;&gt;"",
INDIRECT(""&amp;IF(COLUMN(CB76)&lt;=26,CHAR(COLUMN(CB76)+64),CHAR(INT((COLUMN(CB76)-1)/26)+64)&amp;CHAR(MOD(COLUMN(CB76)-1,26)+65))&amp;$CK76&amp;""),"")</f>
        <v/>
      </c>
      <c r="CP76" s="77" t="str" cm="1">
        <f t="array" aca="1" ref="CP76" ca="1">IF($CK76&lt;&gt;"",
INDIRECT(""&amp;IF(COLUMN(CC76)&lt;=26,CHAR(COLUMN(CC76)+64),CHAR(INT((COLUMN(CC76)-1)/26)+64)&amp;CHAR(MOD(COLUMN(CC76)-1,26)+65))&amp;$CK76&amp;""),"")</f>
        <v/>
      </c>
      <c r="CQ76" s="77" t="str" cm="1">
        <f t="array" aca="1" ref="CQ76" ca="1">IF($CK76&lt;&gt;"",
INDIRECT(""&amp;IF(COLUMN(CD76)&lt;=26,CHAR(COLUMN(CD76)+64),CHAR(INT((COLUMN(CD76)-1)/26)+64)&amp;CHAR(MOD(COLUMN(CD76)-1,26)+65))&amp;$CK76&amp;""),"")</f>
        <v/>
      </c>
      <c r="CR76" s="77" t="str" cm="1">
        <f t="array" aca="1" ref="CR76" ca="1">IF($CK76&lt;&gt;"",
INDIRECT(""&amp;IF(COLUMN(CE76)&lt;=26,CHAR(COLUMN(CE76)+64),CHAR(INT((COLUMN(CE76)-1)/26)+64)&amp;CHAR(MOD(COLUMN(CE76)-1,26)+65))&amp;$CK76&amp;""),"")</f>
        <v/>
      </c>
      <c r="CS76" s="77" t="str" cm="1">
        <f t="array" aca="1" ref="CS76" ca="1">IF($CK76&lt;&gt;"",
INDIRECT(""&amp;IF(COLUMN(CF76)&lt;=26,CHAR(COLUMN(CF76)+64),CHAR(INT((COLUMN(CF76)-1)/26)+64)&amp;CHAR(MOD(COLUMN(CF76)-1,26)+65))&amp;$CK76&amp;""),"")</f>
        <v/>
      </c>
      <c r="CT76" s="77" t="str" cm="1">
        <f t="array" aca="1" ref="CT76" ca="1">IF($CK76&lt;&gt;"",
INDIRECT(""&amp;IF(COLUMN(CG76)&lt;=26,CHAR(COLUMN(CG76)+64),CHAR(INT((COLUMN(CG76)-1)/26)+64)&amp;CHAR(MOD(COLUMN(CG76)-1,26)+65))&amp;$CK76&amp;""),"")</f>
        <v/>
      </c>
      <c r="CU76" s="77" t="str" cm="1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97" t="str">
        <f ca="1">IF(C74&lt;&gt;"",
IFERROR(INT(C74/C76),""),"")</f>
        <v/>
      </c>
      <c r="C77" s="95"/>
      <c r="D77" s="97" t="str">
        <f ca="1">IFERROR(MOD(C74,C76),"")</f>
        <v/>
      </c>
      <c r="E77" s="95"/>
      <c r="F77" s="98" t="str" cm="1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MATCH(C74,INDIRECT("'数出表_Excel（アレルギー入力）'!"&amp;B29-1&amp;":"&amp;B29-1&amp;""),0)-1),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MATCH(C74,INDIRECT("'数出表_Excel（アレルギー入力）'!"&amp;B29-1&amp;":"&amp;B29-1&amp;""),0)-1),
 "")="",0,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MATCH(C74,INDIRECT("'数出表_Excel（アレルギー入力）'!"&amp;B29-1&amp;":"&amp;B29-1&amp;""),0)-1),
 "")),0),"")</f>
        <v/>
      </c>
      <c r="G77" s="99"/>
      <c r="I77" s="97" t="str">
        <f ca="1">IF(J74&lt;&gt;"",
IFERROR(INT(J74/J76),""),"")</f>
        <v/>
      </c>
      <c r="J77" s="95"/>
      <c r="K77" s="97" t="str">
        <f ca="1">IFERROR(MOD(J74,J76),"")</f>
        <v/>
      </c>
      <c r="L77" s="95"/>
      <c r="M77" s="98" t="str" cm="1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MATCH(J74,INDIRECT("'数出表_Excel（アレルギー入力）'!"&amp;I29-1&amp;":"&amp;I29-1&amp;""),0)-1),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MATCH(J74,INDIRECT("'数出表_Excel（アレルギー入力）'!"&amp;I29-1&amp;":"&amp;I29-1&amp;""),0)-1),
 "")="",0,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MATCH(J74,INDIRECT("'数出表_Excel（アレルギー入力）'!"&amp;I29-1&amp;":"&amp;I29-1&amp;""),0)-1),
 "")),0),"")</f>
        <v/>
      </c>
      <c r="N77" s="99"/>
      <c r="Q77" s="97" t="str">
        <f ca="1">IF(R74&lt;&gt;"",
IFERROR(INT(R74/R76),""),"")</f>
        <v/>
      </c>
      <c r="R77" s="95"/>
      <c r="S77" s="97" t="str">
        <f ca="1">IFERROR(MOD(R74,R76),"")</f>
        <v/>
      </c>
      <c r="T77" s="95"/>
      <c r="U77" s="98" t="str" cm="1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MATCH(R74,INDIRECT("'数出表_Excel（アレルギー入力）'!"&amp;Q29-1&amp;":"&amp;Q29-1&amp;""),0)-1),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MATCH(R74,INDIRECT("'数出表_Excel（アレルギー入力）'!"&amp;Q29-1&amp;":"&amp;Q29-1&amp;""),0)-1),
 "")="",0,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MATCH(R74,INDIRECT("'数出表_Excel（アレルギー入力）'!"&amp;Q29-1&amp;":"&amp;Q29-1&amp;""),0)-1),
 "")),0),"")</f>
        <v/>
      </c>
      <c r="V77" s="99"/>
      <c r="X77" s="97" t="str">
        <f ca="1">IF(Y74&lt;&gt;"",
IFERROR(INT(Y74/Y76),""),"")</f>
        <v/>
      </c>
      <c r="Y77" s="95"/>
      <c r="Z77" s="97" t="str">
        <f ca="1">IFERROR(MOD(Y74,Y76),"")</f>
        <v/>
      </c>
      <c r="AA77" s="95"/>
      <c r="AB77" s="98" t="str" cm="1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MATCH(Y74,INDIRECT("'数出表_Excel（アレルギー入力）'!"&amp;X29-1&amp;":"&amp;X29-1&amp;""),0)-1),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MATCH(Y74,INDIRECT("'数出表_Excel（アレルギー入力）'!"&amp;X29-1&amp;":"&amp;X29-1&amp;""),0)-1),
 "")="",0,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MATCH(Y74,INDIRECT("'数出表_Excel（アレルギー入力）'!"&amp;X29-1&amp;":"&amp;X29-1&amp;""),0)-1),
 "")),0),"")</f>
        <v/>
      </c>
      <c r="AC77" s="99"/>
      <c r="AF77" s="97" t="str">
        <f ca="1">IF(AG74&lt;&gt;"",
IFERROR(INT(AG74/AG76),""),"")</f>
        <v/>
      </c>
      <c r="AG77" s="95"/>
      <c r="AH77" s="97" t="str">
        <f ca="1">IFERROR(MOD(AG74,AG76),"")</f>
        <v/>
      </c>
      <c r="AI77" s="95"/>
      <c r="AJ77" s="98" t="str" cm="1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MATCH(AG74,INDIRECT("'数出表_Excel（アレルギー入力）'!"&amp;AF29-1&amp;":"&amp;AF29-1&amp;""),0)-1),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MATCH(AG74,INDIRECT("'数出表_Excel（アレルギー入力）'!"&amp;AF29-1&amp;":"&amp;AF29-1&amp;""),0)-1),
 "")="",0,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MATCH(AG74,INDIRECT("'数出表_Excel（アレルギー入力）'!"&amp;AF29-1&amp;":"&amp;AF29-1&amp;""),0)-1),
 "")),0),"")</f>
        <v/>
      </c>
      <c r="AK77" s="99"/>
      <c r="AM77" s="97" t="str">
        <f ca="1">IF(AN74&lt;&gt;"",
IFERROR(INT(AN74/AN76),""),"")</f>
        <v/>
      </c>
      <c r="AN77" s="95"/>
      <c r="AO77" s="97" t="str">
        <f ca="1">IFERROR(MOD(AN74,AN76),"")</f>
        <v/>
      </c>
      <c r="AP77" s="95"/>
      <c r="AQ77" s="98" t="str" cm="1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MATCH(AN74,INDIRECT("'数出表_Excel（アレルギー入力）'!"&amp;AM29-1&amp;":"&amp;AM29-1&amp;""),0)-1),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MATCH(AN74,INDIRECT("'数出表_Excel（アレルギー入力）'!"&amp;AM29-1&amp;":"&amp;AM29-1&amp;""),0)-1),
 "")="",0,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MATCH(AN74,INDIRECT("'数出表_Excel（アレルギー入力）'!"&amp;AM29-1&amp;":"&amp;AM29-1&amp;""),0)-1),
 "")),0),"")</f>
        <v/>
      </c>
      <c r="AR77" s="99"/>
      <c r="AU77" s="97" t="str">
        <f ca="1">IF(AV74&lt;&gt;"",
IFERROR(INT(AV74/AV76),""),"")</f>
        <v/>
      </c>
      <c r="AV77" s="95"/>
      <c r="AW77" s="97" t="str">
        <f ca="1">IFERROR(MOD(AV74,AV76),"")</f>
        <v/>
      </c>
      <c r="AX77" s="95"/>
      <c r="AY77" s="98" t="str" cm="1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MATCH(AV74,INDIRECT("'数出表_Excel（アレルギー入力）'!"&amp;AU29-1&amp;":"&amp;AU29-1&amp;""),0)-1),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MATCH(AV74,INDIRECT("'数出表_Excel（アレルギー入力）'!"&amp;AU29-1&amp;":"&amp;AU29-1&amp;""),0)-1),
 "")="",0,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MATCH(AV74,INDIRECT("'数出表_Excel（アレルギー入力）'!"&amp;AU29-1&amp;":"&amp;AU29-1&amp;""),0)-1),
 "")),0),"")</f>
        <v/>
      </c>
      <c r="AZ77" s="99"/>
      <c r="BB77" s="97" t="str">
        <f ca="1">IF(BC74&lt;&gt;"",
IFERROR(INT(BC74/BC76),""),"")</f>
        <v/>
      </c>
      <c r="BC77" s="95"/>
      <c r="BD77" s="97" t="str">
        <f ca="1">IFERROR(MOD(BC74,BC76),"")</f>
        <v/>
      </c>
      <c r="BE77" s="95"/>
      <c r="BF77" s="98" t="str" cm="1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MATCH(BC74,INDIRECT("'数出表_Excel（アレルギー入力）'!"&amp;BB29-1&amp;":"&amp;BB29-1&amp;""),0)-1),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MATCH(BC74,INDIRECT("'数出表_Excel（アレルギー入力）'!"&amp;BB29-1&amp;":"&amp;BB29-1&amp;""),0)-1),
 "")="",0,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MATCH(BC74,INDIRECT("'数出表_Excel（アレルギー入力）'!"&amp;BB29-1&amp;":"&amp;BB29-1&amp;""),0)-1),
 "")),0),"")</f>
        <v/>
      </c>
      <c r="BG77" s="99"/>
      <c r="BJ77" s="97" t="str">
        <f ca="1">IF(BK74&lt;&gt;"",
IFERROR(INT(BK74/BK76),""),"")</f>
        <v/>
      </c>
      <c r="BK77" s="95"/>
      <c r="BL77" s="97" t="str">
        <f ca="1">IFERROR(MOD(BK74,BK76),"")</f>
        <v/>
      </c>
      <c r="BM77" s="95"/>
      <c r="BN77" s="98" t="str" cm="1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MATCH(BK74,INDIRECT("'数出表_Excel（アレルギー入力）'!"&amp;BJ29-1&amp;":"&amp;BJ29-1&amp;""),0)-1),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MATCH(BK74,INDIRECT("'数出表_Excel（アレルギー入力）'!"&amp;BJ29-1&amp;":"&amp;BJ29-1&amp;""),0)-1),
 "")="",0,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MATCH(BK74,INDIRECT("'数出表_Excel（アレルギー入力）'!"&amp;BJ29-1&amp;":"&amp;BJ29-1&amp;""),0)-1),
 "")),0),"")</f>
        <v/>
      </c>
      <c r="BO77" s="99"/>
      <c r="BQ77" s="97" t="str">
        <f ca="1">IF(BR74&lt;&gt;"",
IFERROR(INT(BR74/BR76),""),"")</f>
        <v/>
      </c>
      <c r="BR77" s="95"/>
      <c r="BS77" s="97" t="str">
        <f ca="1">IFERROR(MOD(BR74,BR76),"")</f>
        <v/>
      </c>
      <c r="BT77" s="95"/>
      <c r="BU77" s="98" t="str" cm="1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MATCH(BR74,INDIRECT("'数出表_Excel（アレルギー入力）'!"&amp;BQ29-1&amp;":"&amp;BQ29-1&amp;""),0)-1),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MATCH(BR74,INDIRECT("'数出表_Excel（アレルギー入力）'!"&amp;BQ29-1&amp;":"&amp;BQ29-1&amp;""),0)-1),
 "")="",0,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MATCH(BR74,INDIRECT("'数出表_Excel（アレルギー入力）'!"&amp;BQ29-1&amp;":"&amp;BQ29-1&amp;""),0)-1),
 "")),0),"")</f>
        <v/>
      </c>
      <c r="BV77" s="99"/>
      <c r="BX77">
        <v>7</v>
      </c>
      <c r="BY77" s="77" t="str" cm="1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77" t="str" cm="1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77" t="str" cm="1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77" t="str" cm="1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77" t="str" cm="1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77" t="str" cm="1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77" t="str" cm="1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77" t="str" cm="1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77" t="str" cm="1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77" t="str" cm="1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77">
        <f t="shared" ca="1" si="1"/>
        <v>0</v>
      </c>
      <c r="CJ77" s="77" t="b" cm="1">
        <f t="array" aca="1" ref="CJ77" ca="1">SUMPRODUCT((LEN(BY77:CH77)&gt;0)*1)&gt;0</f>
        <v>0</v>
      </c>
      <c r="CK77" s="77" t="str">
        <f t="array" aca="1" ref="CK77" ca="1">IFERROR(SMALL(IF(CI$1:CI$100&lt;&gt;0,CI$1:CI$100),ROW(A77)),"")</f>
        <v/>
      </c>
      <c r="CL77" s="77" t="str" cm="1">
        <f t="array" aca="1" ref="CL77" ca="1">IF($CK77&lt;&gt;"",
INDIRECT(""&amp;IF(COLUMN(BY77)&lt;=26,CHAR(COLUMN(BY77)+64),CHAR(INT((COLUMN(BY77)-1)/26)+64)&amp;CHAR(MOD(COLUMN(BY77)-1,26)+65))&amp;$CK77&amp;""),"")</f>
        <v/>
      </c>
      <c r="CM77" s="77" t="str" cm="1">
        <f t="array" aca="1" ref="CM77" ca="1">IF($CK77&lt;&gt;"",
INDIRECT(""&amp;IF(COLUMN(BZ77)&lt;=26,CHAR(COLUMN(BZ77)+64),CHAR(INT((COLUMN(BZ77)-1)/26)+64)&amp;CHAR(MOD(COLUMN(BZ77)-1,26)+65))&amp;$CK77&amp;""),"")</f>
        <v/>
      </c>
      <c r="CN77" s="77" t="str" cm="1">
        <f t="array" aca="1" ref="CN77" ca="1">IF($CK77&lt;&gt;"",
INDIRECT(""&amp;IF(COLUMN(CA77)&lt;=26,CHAR(COLUMN(CA77)+64),CHAR(INT((COLUMN(CA77)-1)/26)+64)&amp;CHAR(MOD(COLUMN(CA77)-1,26)+65))&amp;$CK77&amp;""),"")</f>
        <v/>
      </c>
      <c r="CO77" s="77" t="str" cm="1">
        <f t="array" aca="1" ref="CO77" ca="1">IF($CK77&lt;&gt;"",
INDIRECT(""&amp;IF(COLUMN(CB77)&lt;=26,CHAR(COLUMN(CB77)+64),CHAR(INT((COLUMN(CB77)-1)/26)+64)&amp;CHAR(MOD(COLUMN(CB77)-1,26)+65))&amp;$CK77&amp;""),"")</f>
        <v/>
      </c>
      <c r="CP77" s="77" t="str" cm="1">
        <f t="array" aca="1" ref="CP77" ca="1">IF($CK77&lt;&gt;"",
INDIRECT(""&amp;IF(COLUMN(CC77)&lt;=26,CHAR(COLUMN(CC77)+64),CHAR(INT((COLUMN(CC77)-1)/26)+64)&amp;CHAR(MOD(COLUMN(CC77)-1,26)+65))&amp;$CK77&amp;""),"")</f>
        <v/>
      </c>
      <c r="CQ77" s="77" t="str" cm="1">
        <f t="array" aca="1" ref="CQ77" ca="1">IF($CK77&lt;&gt;"",
INDIRECT(""&amp;IF(COLUMN(CD77)&lt;=26,CHAR(COLUMN(CD77)+64),CHAR(INT((COLUMN(CD77)-1)/26)+64)&amp;CHAR(MOD(COLUMN(CD77)-1,26)+65))&amp;$CK77&amp;""),"")</f>
        <v/>
      </c>
      <c r="CR77" s="77" t="str" cm="1">
        <f t="array" aca="1" ref="CR77" ca="1">IF($CK77&lt;&gt;"",
INDIRECT(""&amp;IF(COLUMN(CE77)&lt;=26,CHAR(COLUMN(CE77)+64),CHAR(INT((COLUMN(CE77)-1)/26)+64)&amp;CHAR(MOD(COLUMN(CE77)-1,26)+65))&amp;$CK77&amp;""),"")</f>
        <v/>
      </c>
      <c r="CS77" s="77" t="str" cm="1">
        <f t="array" aca="1" ref="CS77" ca="1">IF($CK77&lt;&gt;"",
INDIRECT(""&amp;IF(COLUMN(CF77)&lt;=26,CHAR(COLUMN(CF77)+64),CHAR(INT((COLUMN(CF77)-1)/26)+64)&amp;CHAR(MOD(COLUMN(CF77)-1,26)+65))&amp;$CK77&amp;""),"")</f>
        <v/>
      </c>
      <c r="CT77" s="77" t="str" cm="1">
        <f t="array" aca="1" ref="CT77" ca="1">IF($CK77&lt;&gt;"",
INDIRECT(""&amp;IF(COLUMN(CG77)&lt;=26,CHAR(COLUMN(CG77)+64),CHAR(INT((COLUMN(CG77)-1)/26)+64)&amp;CHAR(MOD(COLUMN(CG77)-1,26)+65))&amp;$CK77&amp;""),"")</f>
        <v/>
      </c>
      <c r="CU77" s="77" t="str" cm="1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77" customFormat="1" ht="19.2" customHeight="1" x14ac:dyDescent="0.55000000000000004">
      <c r="A78" s="53"/>
      <c r="B78" s="76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88" t="str">
        <f ca="1">IF(C81&lt;&gt;"",C36,"")</f>
        <v/>
      </c>
      <c r="D78" s="89"/>
      <c r="E78" s="89"/>
      <c r="F78" s="89"/>
      <c r="G78" s="103"/>
      <c r="H78" s="53"/>
      <c r="I78" s="76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88" t="str">
        <f ca="1">IF(J81&lt;&gt;"",J36,"")</f>
        <v/>
      </c>
      <c r="K78" s="89"/>
      <c r="L78" s="89"/>
      <c r="M78" s="89"/>
      <c r="N78" s="103"/>
      <c r="O78" s="53"/>
      <c r="P78" s="53"/>
      <c r="Q78" s="76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88" t="str">
        <f ca="1">IF(R81&lt;&gt;"",R36,"")</f>
        <v/>
      </c>
      <c r="S78" s="89"/>
      <c r="T78" s="89"/>
      <c r="U78" s="89"/>
      <c r="V78" s="103"/>
      <c r="W78" s="53"/>
      <c r="X78" s="76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88" t="str">
        <f ca="1">IF(Y81&lt;&gt;"",Y36,"")</f>
        <v/>
      </c>
      <c r="Z78" s="89"/>
      <c r="AA78" s="89"/>
      <c r="AB78" s="89"/>
      <c r="AC78" s="103"/>
      <c r="AD78" s="53"/>
      <c r="AE78" s="53"/>
      <c r="AF78" s="76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88" t="str">
        <f ca="1">IF(AG81&lt;&gt;"",AG36,"")</f>
        <v/>
      </c>
      <c r="AH78" s="89"/>
      <c r="AI78" s="89"/>
      <c r="AJ78" s="89"/>
      <c r="AK78" s="103"/>
      <c r="AL78" s="53"/>
      <c r="AM78" s="76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88" t="str">
        <f ca="1">IF(AN81&lt;&gt;"",AN36,"")</f>
        <v/>
      </c>
      <c r="AO78" s="89"/>
      <c r="AP78" s="89"/>
      <c r="AQ78" s="89"/>
      <c r="AR78" s="103"/>
      <c r="AS78" s="53"/>
      <c r="AT78" s="53"/>
      <c r="AU78" s="76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88" t="str">
        <f ca="1">IF(AV81&lt;&gt;"",AV36,"")</f>
        <v/>
      </c>
      <c r="AW78" s="89"/>
      <c r="AX78" s="89"/>
      <c r="AY78" s="89"/>
      <c r="AZ78" s="103"/>
      <c r="BA78" s="53"/>
      <c r="BB78" s="76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88" t="str">
        <f ca="1">IF(BC81&lt;&gt;"",BC36,"")</f>
        <v/>
      </c>
      <c r="BD78" s="89"/>
      <c r="BE78" s="89"/>
      <c r="BF78" s="89"/>
      <c r="BG78" s="103"/>
      <c r="BH78" s="53"/>
      <c r="BI78" s="53"/>
      <c r="BJ78" s="76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88" t="str">
        <f ca="1">IF(BK81&lt;&gt;"",BK36,"")</f>
        <v/>
      </c>
      <c r="BL78" s="89"/>
      <c r="BM78" s="89"/>
      <c r="BN78" s="89"/>
      <c r="BO78" s="103"/>
      <c r="BP78" s="53"/>
      <c r="BQ78" s="76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88" t="str">
        <f ca="1">IF(BR81&lt;&gt;"",BR36,"")</f>
        <v/>
      </c>
      <c r="BS78" s="89"/>
      <c r="BT78" s="89"/>
      <c r="BU78" s="89"/>
      <c r="BV78" s="103"/>
      <c r="BW78" s="53"/>
      <c r="BX78" s="77">
        <f>BX74+7</f>
        <v>49</v>
      </c>
      <c r="BY78" s="77" t="str" cm="1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77" t="str" cm="1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77" t="str" cm="1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77" t="str" cm="1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77" t="str" cm="1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77" t="str" cm="1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77" t="str" cm="1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77" t="str" cm="1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77" t="str" cm="1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77" t="str" cm="1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77">
        <f t="shared" ca="1" si="1"/>
        <v>0</v>
      </c>
      <c r="CJ78" s="77" t="b" cm="1">
        <f t="array" aca="1" ref="CJ78" ca="1">SUMPRODUCT((LEN(BY78:CH78)&gt;0)*1)&gt;0</f>
        <v>0</v>
      </c>
      <c r="CK78" s="77" t="str">
        <f t="array" aca="1" ref="CK78" ca="1">IFERROR(SMALL(IF(CI$1:CI$100&lt;&gt;0,CI$1:CI$100),ROW(A78)),"")</f>
        <v/>
      </c>
      <c r="CL78" s="77" t="str" cm="1">
        <f t="array" aca="1" ref="CL78" ca="1">IF($CK78&lt;&gt;"",
INDIRECT(""&amp;IF(COLUMN(BY78)&lt;=26,CHAR(COLUMN(BY78)+64),CHAR(INT((COLUMN(BY78)-1)/26)+64)&amp;CHAR(MOD(COLUMN(BY78)-1,26)+65))&amp;$CK78&amp;""),"")</f>
        <v/>
      </c>
      <c r="CM78" s="77" t="str" cm="1">
        <f t="array" aca="1" ref="CM78" ca="1">IF($CK78&lt;&gt;"",
INDIRECT(""&amp;IF(COLUMN(BZ78)&lt;=26,CHAR(COLUMN(BZ78)+64),CHAR(INT((COLUMN(BZ78)-1)/26)+64)&amp;CHAR(MOD(COLUMN(BZ78)-1,26)+65))&amp;$CK78&amp;""),"")</f>
        <v/>
      </c>
      <c r="CN78" s="77" t="str" cm="1">
        <f t="array" aca="1" ref="CN78" ca="1">IF($CK78&lt;&gt;"",
INDIRECT(""&amp;IF(COLUMN(CA78)&lt;=26,CHAR(COLUMN(CA78)+64),CHAR(INT((COLUMN(CA78)-1)/26)+64)&amp;CHAR(MOD(COLUMN(CA78)-1,26)+65))&amp;$CK78&amp;""),"")</f>
        <v/>
      </c>
      <c r="CO78" s="77" t="str" cm="1">
        <f t="array" aca="1" ref="CO78" ca="1">IF($CK78&lt;&gt;"",
INDIRECT(""&amp;IF(COLUMN(CB78)&lt;=26,CHAR(COLUMN(CB78)+64),CHAR(INT((COLUMN(CB78)-1)/26)+64)&amp;CHAR(MOD(COLUMN(CB78)-1,26)+65))&amp;$CK78&amp;""),"")</f>
        <v/>
      </c>
      <c r="CP78" s="77" t="str" cm="1">
        <f t="array" aca="1" ref="CP78" ca="1">IF($CK78&lt;&gt;"",
INDIRECT(""&amp;IF(COLUMN(CC78)&lt;=26,CHAR(COLUMN(CC78)+64),CHAR(INT((COLUMN(CC78)-1)/26)+64)&amp;CHAR(MOD(COLUMN(CC78)-1,26)+65))&amp;$CK78&amp;""),"")</f>
        <v/>
      </c>
      <c r="CQ78" s="77" t="str" cm="1">
        <f t="array" aca="1" ref="CQ78" ca="1">IF($CK78&lt;&gt;"",
INDIRECT(""&amp;IF(COLUMN(CD78)&lt;=26,CHAR(COLUMN(CD78)+64),CHAR(INT((COLUMN(CD78)-1)/26)+64)&amp;CHAR(MOD(COLUMN(CD78)-1,26)+65))&amp;$CK78&amp;""),"")</f>
        <v/>
      </c>
      <c r="CR78" s="77" t="str" cm="1">
        <f t="array" aca="1" ref="CR78" ca="1">IF($CK78&lt;&gt;"",
INDIRECT(""&amp;IF(COLUMN(CE78)&lt;=26,CHAR(COLUMN(CE78)+64),CHAR(INT((COLUMN(CE78)-1)/26)+64)&amp;CHAR(MOD(COLUMN(CE78)-1,26)+65))&amp;$CK78&amp;""),"")</f>
        <v/>
      </c>
      <c r="CS78" s="77" t="str" cm="1">
        <f t="array" aca="1" ref="CS78" ca="1">IF($CK78&lt;&gt;"",
INDIRECT(""&amp;IF(COLUMN(CF78)&lt;=26,CHAR(COLUMN(CF78)+64),CHAR(INT((COLUMN(CF78)-1)/26)+64)&amp;CHAR(MOD(COLUMN(CF78)-1,26)+65))&amp;$CK78&amp;""),"")</f>
        <v/>
      </c>
      <c r="CT78" s="77" t="str" cm="1">
        <f t="array" aca="1" ref="CT78" ca="1">IF($CK78&lt;&gt;"",
INDIRECT(""&amp;IF(COLUMN(CG78)&lt;=26,CHAR(COLUMN(CG78)+64),CHAR(INT((COLUMN(CG78)-1)/26)+64)&amp;CHAR(MOD(COLUMN(CG78)-1,26)+65))&amp;$CK78&amp;""),"")</f>
        <v/>
      </c>
      <c r="CU78" s="77" t="str" cm="1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77" customFormat="1" ht="19.2" customHeight="1" x14ac:dyDescent="0.55000000000000004">
      <c r="A79" s="53"/>
      <c r="B79" s="7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9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53"/>
      <c r="E79" s="108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8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00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53"/>
      <c r="I79" s="7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9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53"/>
      <c r="L79" s="108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8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00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53"/>
      <c r="P79" s="53"/>
      <c r="Q79" s="7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9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53"/>
      <c r="T79" s="108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8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0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53"/>
      <c r="X79" s="7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9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53"/>
      <c r="AA79" s="108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8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00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53"/>
      <c r="AE79" s="53"/>
      <c r="AF79" s="7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9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53"/>
      <c r="AI79" s="108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8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0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53"/>
      <c r="AM79" s="7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9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53"/>
      <c r="AP79" s="108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8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00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53"/>
      <c r="AT79" s="53"/>
      <c r="AU79" s="7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9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53"/>
      <c r="AX79" s="108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8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0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53"/>
      <c r="BB79" s="7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9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53"/>
      <c r="BE79" s="108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8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00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53"/>
      <c r="BI79" s="53"/>
      <c r="BJ79" s="7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9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53"/>
      <c r="BM79" s="108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8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0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53"/>
      <c r="BQ79" s="7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9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53"/>
      <c r="BT79" s="108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8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00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53"/>
      <c r="BX79" s="77">
        <v>7</v>
      </c>
      <c r="BY79" s="77" t="str" cm="1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77" t="str" cm="1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77" t="str" cm="1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77" t="str" cm="1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77" t="str" cm="1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77" t="str" cm="1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77" t="str" cm="1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77" t="str" cm="1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77" t="str" cm="1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77" t="str" cm="1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77">
        <f t="shared" ca="1" si="1"/>
        <v>0</v>
      </c>
      <c r="CJ79" s="77" t="b" cm="1">
        <f t="array" aca="1" ref="CJ79" ca="1">SUMPRODUCT((LEN(BY79:CH79)&gt;0)*1)&gt;0</f>
        <v>0</v>
      </c>
      <c r="CK79" s="77" t="str">
        <f t="array" aca="1" ref="CK79" ca="1">IFERROR(SMALL(IF(CI$1:CI$100&lt;&gt;0,CI$1:CI$100),ROW(A79)),"")</f>
        <v/>
      </c>
      <c r="CL79" s="77" t="str" cm="1">
        <f t="array" aca="1" ref="CL79" ca="1">IF($CK79&lt;&gt;"",
INDIRECT(""&amp;IF(COLUMN(BY79)&lt;=26,CHAR(COLUMN(BY79)+64),CHAR(INT((COLUMN(BY79)-1)/26)+64)&amp;CHAR(MOD(COLUMN(BY79)-1,26)+65))&amp;$CK79&amp;""),"")</f>
        <v/>
      </c>
      <c r="CM79" s="77" t="str" cm="1">
        <f t="array" aca="1" ref="CM79" ca="1">IF($CK79&lt;&gt;"",
INDIRECT(""&amp;IF(COLUMN(BZ79)&lt;=26,CHAR(COLUMN(BZ79)+64),CHAR(INT((COLUMN(BZ79)-1)/26)+64)&amp;CHAR(MOD(COLUMN(BZ79)-1,26)+65))&amp;$CK79&amp;""),"")</f>
        <v/>
      </c>
      <c r="CN79" s="77" t="str" cm="1">
        <f t="array" aca="1" ref="CN79" ca="1">IF($CK79&lt;&gt;"",
INDIRECT(""&amp;IF(COLUMN(CA79)&lt;=26,CHAR(COLUMN(CA79)+64),CHAR(INT((COLUMN(CA79)-1)/26)+64)&amp;CHAR(MOD(COLUMN(CA79)-1,26)+65))&amp;$CK79&amp;""),"")</f>
        <v/>
      </c>
      <c r="CO79" s="77" t="str" cm="1">
        <f t="array" aca="1" ref="CO79" ca="1">IF($CK79&lt;&gt;"",
INDIRECT(""&amp;IF(COLUMN(CB79)&lt;=26,CHAR(COLUMN(CB79)+64),CHAR(INT((COLUMN(CB79)-1)/26)+64)&amp;CHAR(MOD(COLUMN(CB79)-1,26)+65))&amp;$CK79&amp;""),"")</f>
        <v/>
      </c>
      <c r="CP79" s="77" t="str" cm="1">
        <f t="array" aca="1" ref="CP79" ca="1">IF($CK79&lt;&gt;"",
INDIRECT(""&amp;IF(COLUMN(CC79)&lt;=26,CHAR(COLUMN(CC79)+64),CHAR(INT((COLUMN(CC79)-1)/26)+64)&amp;CHAR(MOD(COLUMN(CC79)-1,26)+65))&amp;$CK79&amp;""),"")</f>
        <v/>
      </c>
      <c r="CQ79" s="77" t="str" cm="1">
        <f t="array" aca="1" ref="CQ79" ca="1">IF($CK79&lt;&gt;"",
INDIRECT(""&amp;IF(COLUMN(CD79)&lt;=26,CHAR(COLUMN(CD79)+64),CHAR(INT((COLUMN(CD79)-1)/26)+64)&amp;CHAR(MOD(COLUMN(CD79)-1,26)+65))&amp;$CK79&amp;""),"")</f>
        <v/>
      </c>
      <c r="CR79" s="77" t="str" cm="1">
        <f t="array" aca="1" ref="CR79" ca="1">IF($CK79&lt;&gt;"",
INDIRECT(""&amp;IF(COLUMN(CE79)&lt;=26,CHAR(COLUMN(CE79)+64),CHAR(INT((COLUMN(CE79)-1)/26)+64)&amp;CHAR(MOD(COLUMN(CE79)-1,26)+65))&amp;$CK79&amp;""),"")</f>
        <v/>
      </c>
      <c r="CS79" s="77" t="str" cm="1">
        <f t="array" aca="1" ref="CS79" ca="1">IF($CK79&lt;&gt;"",
INDIRECT(""&amp;IF(COLUMN(CF79)&lt;=26,CHAR(COLUMN(CF79)+64),CHAR(INT((COLUMN(CF79)-1)/26)+64)&amp;CHAR(MOD(COLUMN(CF79)-1,26)+65))&amp;$CK79&amp;""),"")</f>
        <v/>
      </c>
      <c r="CT79" s="77" t="str" cm="1">
        <f t="array" aca="1" ref="CT79" ca="1">IF($CK79&lt;&gt;"",
INDIRECT(""&amp;IF(COLUMN(CG79)&lt;=26,CHAR(COLUMN(CG79)+64),CHAR(INT((COLUMN(CG79)-1)/26)+64)&amp;CHAR(MOD(COLUMN(CG79)-1,26)+65))&amp;$CK79&amp;""),"")</f>
        <v/>
      </c>
      <c r="CU79" s="77" t="str" cm="1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77" customFormat="1" ht="22.2" x14ac:dyDescent="0.55000000000000004">
      <c r="A80" s="53"/>
      <c r="B80" s="85"/>
      <c r="C80" s="86" t="str">
        <f ca="1">IF(C81&lt;&gt;"","園児","")</f>
        <v/>
      </c>
      <c r="D80" s="87"/>
      <c r="E80" s="96" t="str">
        <f ca="1">IF(C81&lt;&gt;"","先生","")</f>
        <v/>
      </c>
      <c r="F80" s="87"/>
      <c r="G80" s="101"/>
      <c r="H80" s="53"/>
      <c r="I80" s="85"/>
      <c r="J80" s="86" t="str">
        <f ca="1">IF(J81&lt;&gt;"","園児","")</f>
        <v/>
      </c>
      <c r="K80" s="87"/>
      <c r="L80" s="96" t="str">
        <f ca="1">IF(J81&lt;&gt;"","先生","")</f>
        <v/>
      </c>
      <c r="M80" s="87"/>
      <c r="N80" s="101"/>
      <c r="O80" s="53"/>
      <c r="P80" s="53"/>
      <c r="Q80" s="85"/>
      <c r="R80" s="86" t="str">
        <f ca="1">IF(R81&lt;&gt;"","園児","")</f>
        <v/>
      </c>
      <c r="S80" s="87"/>
      <c r="T80" s="96" t="str">
        <f ca="1">IF(R81&lt;&gt;"","先生","")</f>
        <v/>
      </c>
      <c r="U80" s="87"/>
      <c r="V80" s="101"/>
      <c r="W80" s="53"/>
      <c r="X80" s="85"/>
      <c r="Y80" s="86" t="str">
        <f ca="1">IF(Y81&lt;&gt;"","園児","")</f>
        <v/>
      </c>
      <c r="Z80" s="87"/>
      <c r="AA80" s="96" t="str">
        <f ca="1">IF(Y81&lt;&gt;"","先生","")</f>
        <v/>
      </c>
      <c r="AB80" s="87"/>
      <c r="AC80" s="101"/>
      <c r="AD80" s="53"/>
      <c r="AE80" s="53"/>
      <c r="AF80" s="85"/>
      <c r="AG80" s="86" t="str">
        <f ca="1">IF(AG81&lt;&gt;"","園児","")</f>
        <v/>
      </c>
      <c r="AH80" s="87"/>
      <c r="AI80" s="96" t="str">
        <f ca="1">IF(AG81&lt;&gt;"","先生","")</f>
        <v/>
      </c>
      <c r="AJ80" s="87"/>
      <c r="AK80" s="101"/>
      <c r="AL80" s="53"/>
      <c r="AM80" s="85"/>
      <c r="AN80" s="86" t="str">
        <f ca="1">IF(AN81&lt;&gt;"","園児","")</f>
        <v/>
      </c>
      <c r="AO80" s="87"/>
      <c r="AP80" s="96" t="str">
        <f ca="1">IF(AN81&lt;&gt;"","先生","")</f>
        <v/>
      </c>
      <c r="AQ80" s="87"/>
      <c r="AR80" s="101"/>
      <c r="AS80" s="53"/>
      <c r="AT80" s="53"/>
      <c r="AU80" s="85"/>
      <c r="AV80" s="86" t="str">
        <f ca="1">IF(AV81&lt;&gt;"","園児","")</f>
        <v/>
      </c>
      <c r="AW80" s="87"/>
      <c r="AX80" s="96" t="str">
        <f ca="1">IF(AV81&lt;&gt;"","先生","")</f>
        <v/>
      </c>
      <c r="AY80" s="87"/>
      <c r="AZ80" s="101"/>
      <c r="BA80" s="53"/>
      <c r="BB80" s="85"/>
      <c r="BC80" s="86" t="str">
        <f ca="1">IF(BC81&lt;&gt;"","園児","")</f>
        <v/>
      </c>
      <c r="BD80" s="87"/>
      <c r="BE80" s="96" t="str">
        <f ca="1">IF(BC81&lt;&gt;"","先生","")</f>
        <v/>
      </c>
      <c r="BF80" s="87"/>
      <c r="BG80" s="101"/>
      <c r="BH80" s="53"/>
      <c r="BI80" s="53"/>
      <c r="BJ80" s="85"/>
      <c r="BK80" s="86" t="str">
        <f ca="1">IF(BK81&lt;&gt;"","園児","")</f>
        <v/>
      </c>
      <c r="BL80" s="87"/>
      <c r="BM80" s="96" t="str">
        <f ca="1">IF(BK81&lt;&gt;"","先生","")</f>
        <v/>
      </c>
      <c r="BN80" s="87"/>
      <c r="BO80" s="101"/>
      <c r="BP80" s="53"/>
      <c r="BQ80" s="85"/>
      <c r="BR80" s="86" t="str">
        <f ca="1">IF(BR81&lt;&gt;"","園児","")</f>
        <v/>
      </c>
      <c r="BS80" s="87"/>
      <c r="BT80" s="96" t="str">
        <f ca="1">IF(BR81&lt;&gt;"","先生","")</f>
        <v/>
      </c>
      <c r="BU80" s="87"/>
      <c r="BV80" s="101"/>
      <c r="BW80" s="53"/>
      <c r="BX80" s="77">
        <f>BX76+7</f>
        <v>49</v>
      </c>
      <c r="BY80" s="77" t="str" cm="1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77" t="str" cm="1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77" t="str" cm="1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77" t="str" cm="1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77" t="str" cm="1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77" t="str" cm="1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77" t="str" cm="1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77" t="str" cm="1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77" t="str" cm="1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77" t="str" cm="1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77">
        <f t="shared" ca="1" si="1"/>
        <v>0</v>
      </c>
      <c r="CJ80" s="77" t="b" cm="1">
        <f t="array" aca="1" ref="CJ80" ca="1">SUMPRODUCT((LEN(BY80:CH80)&gt;0)*1)&gt;0</f>
        <v>0</v>
      </c>
      <c r="CK80" s="77" t="str">
        <f t="array" aca="1" ref="CK80" ca="1">IFERROR(SMALL(IF(CI$1:CI$100&lt;&gt;0,CI$1:CI$100),ROW(A80)),"")</f>
        <v/>
      </c>
      <c r="CL80" s="77" t="str" cm="1">
        <f t="array" aca="1" ref="CL80" ca="1">IF($CK80&lt;&gt;"",
INDIRECT(""&amp;IF(COLUMN(BY80)&lt;=26,CHAR(COLUMN(BY80)+64),CHAR(INT((COLUMN(BY80)-1)/26)+64)&amp;CHAR(MOD(COLUMN(BY80)-1,26)+65))&amp;$CK80&amp;""),"")</f>
        <v/>
      </c>
      <c r="CM80" s="77" t="str" cm="1">
        <f t="array" aca="1" ref="CM80" ca="1">IF($CK80&lt;&gt;"",
INDIRECT(""&amp;IF(COLUMN(BZ80)&lt;=26,CHAR(COLUMN(BZ80)+64),CHAR(INT((COLUMN(BZ80)-1)/26)+64)&amp;CHAR(MOD(COLUMN(BZ80)-1,26)+65))&amp;$CK80&amp;""),"")</f>
        <v/>
      </c>
      <c r="CN80" s="77" t="str" cm="1">
        <f t="array" aca="1" ref="CN80" ca="1">IF($CK80&lt;&gt;"",
INDIRECT(""&amp;IF(COLUMN(CA80)&lt;=26,CHAR(COLUMN(CA80)+64),CHAR(INT((COLUMN(CA80)-1)/26)+64)&amp;CHAR(MOD(COLUMN(CA80)-1,26)+65))&amp;$CK80&amp;""),"")</f>
        <v/>
      </c>
      <c r="CO80" s="77" t="str" cm="1">
        <f t="array" aca="1" ref="CO80" ca="1">IF($CK80&lt;&gt;"",
INDIRECT(""&amp;IF(COLUMN(CB80)&lt;=26,CHAR(COLUMN(CB80)+64),CHAR(INT((COLUMN(CB80)-1)/26)+64)&amp;CHAR(MOD(COLUMN(CB80)-1,26)+65))&amp;$CK80&amp;""),"")</f>
        <v/>
      </c>
      <c r="CP80" s="77" t="str" cm="1">
        <f t="array" aca="1" ref="CP80" ca="1">IF($CK80&lt;&gt;"",
INDIRECT(""&amp;IF(COLUMN(CC80)&lt;=26,CHAR(COLUMN(CC80)+64),CHAR(INT((COLUMN(CC80)-1)/26)+64)&amp;CHAR(MOD(COLUMN(CC80)-1,26)+65))&amp;$CK80&amp;""),"")</f>
        <v/>
      </c>
      <c r="CQ80" s="77" t="str" cm="1">
        <f t="array" aca="1" ref="CQ80" ca="1">IF($CK80&lt;&gt;"",
INDIRECT(""&amp;IF(COLUMN(CD80)&lt;=26,CHAR(COLUMN(CD80)+64),CHAR(INT((COLUMN(CD80)-1)/26)+64)&amp;CHAR(MOD(COLUMN(CD80)-1,26)+65))&amp;$CK80&amp;""),"")</f>
        <v/>
      </c>
      <c r="CR80" s="77" t="str" cm="1">
        <f t="array" aca="1" ref="CR80" ca="1">IF($CK80&lt;&gt;"",
INDIRECT(""&amp;IF(COLUMN(CE80)&lt;=26,CHAR(COLUMN(CE80)+64),CHAR(INT((COLUMN(CE80)-1)/26)+64)&amp;CHAR(MOD(COLUMN(CE80)-1,26)+65))&amp;$CK80&amp;""),"")</f>
        <v/>
      </c>
      <c r="CS80" s="77" t="str" cm="1">
        <f t="array" aca="1" ref="CS80" ca="1">IF($CK80&lt;&gt;"",
INDIRECT(""&amp;IF(COLUMN(CF80)&lt;=26,CHAR(COLUMN(CF80)+64),CHAR(INT((COLUMN(CF80)-1)/26)+64)&amp;CHAR(MOD(COLUMN(CF80)-1,26)+65))&amp;$CK80&amp;""),"")</f>
        <v/>
      </c>
      <c r="CT80" s="77" t="str" cm="1">
        <f t="array" aca="1" ref="CT80" ca="1">IF($CK80&lt;&gt;"",
INDIRECT(""&amp;IF(COLUMN(CG80)&lt;=26,CHAR(COLUMN(CG80)+64),CHAR(INT((COLUMN(CG80)-1)/26)+64)&amp;CHAR(MOD(COLUMN(CG80)-1,26)+65))&amp;$CK80&amp;""),"")</f>
        <v/>
      </c>
      <c r="CU80" s="77" t="str" cm="1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1"/>
      <c r="C81" s="9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91"/>
      <c r="E81" s="9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91"/>
      <c r="G81" s="101"/>
      <c r="I81" s="11"/>
      <c r="J81" s="9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91"/>
      <c r="L81" s="9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91"/>
      <c r="N81" s="101"/>
      <c r="Q81" s="11"/>
      <c r="R81" s="9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91"/>
      <c r="T81" s="9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91"/>
      <c r="V81" s="101"/>
      <c r="X81" s="11"/>
      <c r="Y81" s="9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91"/>
      <c r="AA81" s="9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91"/>
      <c r="AC81" s="101"/>
      <c r="AF81" s="11"/>
      <c r="AG81" s="9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91"/>
      <c r="AI81" s="9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91"/>
      <c r="AK81" s="101"/>
      <c r="AM81" s="11"/>
      <c r="AN81" s="9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91"/>
      <c r="AP81" s="9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91"/>
      <c r="AR81" s="101"/>
      <c r="AU81" s="11"/>
      <c r="AV81" s="9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91"/>
      <c r="AX81" s="9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91"/>
      <c r="AZ81" s="101"/>
      <c r="BB81" s="11"/>
      <c r="BC81" s="9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91"/>
      <c r="BE81" s="9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91"/>
      <c r="BG81" s="101"/>
      <c r="BJ81" s="11"/>
      <c r="BK81" s="9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91"/>
      <c r="BM81" s="9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91"/>
      <c r="BO81" s="101"/>
      <c r="BQ81" s="11"/>
      <c r="BR81" s="9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91"/>
      <c r="BT81" s="9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91"/>
      <c r="BV81" s="101"/>
      <c r="BX81" s="77">
        <f>BX77+7</f>
        <v>14</v>
      </c>
      <c r="BY81" s="77" t="str" cm="1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77" t="str" cm="1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77" t="str" cm="1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77" t="str" cm="1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77" t="str" cm="1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77" t="str" cm="1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77" t="str" cm="1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77" t="str" cm="1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77" t="str" cm="1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77" t="str" cm="1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77">
        <f t="shared" ca="1" si="1"/>
        <v>0</v>
      </c>
      <c r="CJ81" s="77" t="b" cm="1">
        <f t="array" aca="1" ref="CJ81" ca="1">SUMPRODUCT((LEN(BY81:CH81)&gt;0)*1)&gt;0</f>
        <v>0</v>
      </c>
      <c r="CK81" s="77" t="str">
        <f t="array" aca="1" ref="CK81" ca="1">IFERROR(SMALL(IF(CI$1:CI$100&lt;&gt;0,CI$1:CI$100),ROW(A81)),"")</f>
        <v/>
      </c>
      <c r="CL81" s="77" t="str" cm="1">
        <f t="array" aca="1" ref="CL81" ca="1">IF($CK81&lt;&gt;"",
INDIRECT(""&amp;IF(COLUMN(BY81)&lt;=26,CHAR(COLUMN(BY81)+64),CHAR(INT((COLUMN(BY81)-1)/26)+64)&amp;CHAR(MOD(COLUMN(BY81)-1,26)+65))&amp;$CK81&amp;""),"")</f>
        <v/>
      </c>
      <c r="CM81" s="77" t="str" cm="1">
        <f t="array" aca="1" ref="CM81" ca="1">IF($CK81&lt;&gt;"",
INDIRECT(""&amp;IF(COLUMN(BZ81)&lt;=26,CHAR(COLUMN(BZ81)+64),CHAR(INT((COLUMN(BZ81)-1)/26)+64)&amp;CHAR(MOD(COLUMN(BZ81)-1,26)+65))&amp;$CK81&amp;""),"")</f>
        <v/>
      </c>
      <c r="CN81" s="77" t="str" cm="1">
        <f t="array" aca="1" ref="CN81" ca="1">IF($CK81&lt;&gt;"",
INDIRECT(""&amp;IF(COLUMN(CA81)&lt;=26,CHAR(COLUMN(CA81)+64),CHAR(INT((COLUMN(CA81)-1)/26)+64)&amp;CHAR(MOD(COLUMN(CA81)-1,26)+65))&amp;$CK81&amp;""),"")</f>
        <v/>
      </c>
      <c r="CO81" s="77" t="str" cm="1">
        <f t="array" aca="1" ref="CO81" ca="1">IF($CK81&lt;&gt;"",
INDIRECT(""&amp;IF(COLUMN(CB81)&lt;=26,CHAR(COLUMN(CB81)+64),CHAR(INT((COLUMN(CB81)-1)/26)+64)&amp;CHAR(MOD(COLUMN(CB81)-1,26)+65))&amp;$CK81&amp;""),"")</f>
        <v/>
      </c>
      <c r="CP81" s="77" t="str" cm="1">
        <f t="array" aca="1" ref="CP81" ca="1">IF($CK81&lt;&gt;"",
INDIRECT(""&amp;IF(COLUMN(CC81)&lt;=26,CHAR(COLUMN(CC81)+64),CHAR(INT((COLUMN(CC81)-1)/26)+64)&amp;CHAR(MOD(COLUMN(CC81)-1,26)+65))&amp;$CK81&amp;""),"")</f>
        <v/>
      </c>
      <c r="CQ81" s="77" t="str" cm="1">
        <f t="array" aca="1" ref="CQ81" ca="1">IF($CK81&lt;&gt;"",
INDIRECT(""&amp;IF(COLUMN(CD81)&lt;=26,CHAR(COLUMN(CD81)+64),CHAR(INT((COLUMN(CD81)-1)/26)+64)&amp;CHAR(MOD(COLUMN(CD81)-1,26)+65))&amp;$CK81&amp;""),"")</f>
        <v/>
      </c>
      <c r="CR81" s="77" t="str" cm="1">
        <f t="array" aca="1" ref="CR81" ca="1">IF($CK81&lt;&gt;"",
INDIRECT(""&amp;IF(COLUMN(CE81)&lt;=26,CHAR(COLUMN(CE81)+64),CHAR(INT((COLUMN(CE81)-1)/26)+64)&amp;CHAR(MOD(COLUMN(CE81)-1,26)+65))&amp;$CK81&amp;""),"")</f>
        <v/>
      </c>
      <c r="CS81" s="77" t="str" cm="1">
        <f t="array" aca="1" ref="CS81" ca="1">IF($CK81&lt;&gt;"",
INDIRECT(""&amp;IF(COLUMN(CF81)&lt;=26,CHAR(COLUMN(CF81)+64),CHAR(INT((COLUMN(CF81)-1)/26)+64)&amp;CHAR(MOD(COLUMN(CF81)-1,26)+65))&amp;$CK81&amp;""),"")</f>
        <v/>
      </c>
      <c r="CT81" s="77" t="str" cm="1">
        <f t="array" aca="1" ref="CT81" ca="1">IF($CK81&lt;&gt;"",
INDIRECT(""&amp;IF(COLUMN(CG81)&lt;=26,CHAR(COLUMN(CG81)+64),CHAR(INT((COLUMN(CG81)-1)/26)+64)&amp;CHAR(MOD(COLUMN(CG81)-1,26)+65))&amp;$CK81&amp;""),"")</f>
        <v/>
      </c>
      <c r="CU81" s="77" t="str" cm="1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8"/>
      <c r="C82" s="92"/>
      <c r="D82" s="92"/>
      <c r="E82" s="92"/>
      <c r="F82" s="92"/>
      <c r="G82" s="102"/>
      <c r="I82" s="8"/>
      <c r="J82" s="92"/>
      <c r="K82" s="92"/>
      <c r="L82" s="92"/>
      <c r="M82" s="92"/>
      <c r="N82" s="102"/>
      <c r="Q82" s="8"/>
      <c r="R82" s="92"/>
      <c r="S82" s="92"/>
      <c r="T82" s="92"/>
      <c r="U82" s="92"/>
      <c r="V82" s="102"/>
      <c r="X82" s="8"/>
      <c r="Y82" s="92"/>
      <c r="Z82" s="92"/>
      <c r="AA82" s="92"/>
      <c r="AB82" s="92"/>
      <c r="AC82" s="102"/>
      <c r="AF82" s="8"/>
      <c r="AG82" s="92"/>
      <c r="AH82" s="92"/>
      <c r="AI82" s="92"/>
      <c r="AJ82" s="92"/>
      <c r="AK82" s="102"/>
      <c r="AM82" s="8"/>
      <c r="AN82" s="92"/>
      <c r="AO82" s="92"/>
      <c r="AP82" s="92"/>
      <c r="AQ82" s="92"/>
      <c r="AR82" s="102"/>
      <c r="AU82" s="8"/>
      <c r="AV82" s="92"/>
      <c r="AW82" s="92"/>
      <c r="AX82" s="92"/>
      <c r="AY82" s="92"/>
      <c r="AZ82" s="102"/>
      <c r="BB82" s="8"/>
      <c r="BC82" s="92"/>
      <c r="BD82" s="92"/>
      <c r="BE82" s="92"/>
      <c r="BF82" s="92"/>
      <c r="BG82" s="102"/>
      <c r="BJ82" s="8"/>
      <c r="BK82" s="92"/>
      <c r="BL82" s="92"/>
      <c r="BM82" s="92"/>
      <c r="BN82" s="92"/>
      <c r="BO82" s="102"/>
      <c r="BQ82" s="8"/>
      <c r="BR82" s="92"/>
      <c r="BS82" s="92"/>
      <c r="BT82" s="92"/>
      <c r="BU82" s="92"/>
      <c r="BV82" s="102"/>
      <c r="BX82" s="77">
        <f>BX78+7</f>
        <v>56</v>
      </c>
      <c r="BY82" s="77" t="str" cm="1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77" t="str" cm="1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77" t="str" cm="1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77" t="str" cm="1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77" t="str" cm="1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77" t="str" cm="1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77" t="str" cm="1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77" t="str" cm="1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77" t="str" cm="1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77" t="str" cm="1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77">
        <f t="shared" ca="1" si="1"/>
        <v>0</v>
      </c>
      <c r="CJ82" s="77" t="b" cm="1">
        <f t="array" aca="1" ref="CJ82" ca="1">SUMPRODUCT((LEN(BY82:CH82)&gt;0)*1)&gt;0</f>
        <v>0</v>
      </c>
      <c r="CK82" s="77" t="str">
        <f t="array" aca="1" ref="CK82" ca="1">IFERROR(SMALL(IF(CI$1:CI$100&lt;&gt;0,CI$1:CI$100),ROW(A82)),"")</f>
        <v/>
      </c>
      <c r="CL82" s="77" t="str" cm="1">
        <f t="array" aca="1" ref="CL82" ca="1">IF($CK82&lt;&gt;"",
INDIRECT(""&amp;IF(COLUMN(BY82)&lt;=26,CHAR(COLUMN(BY82)+64),CHAR(INT((COLUMN(BY82)-1)/26)+64)&amp;CHAR(MOD(COLUMN(BY82)-1,26)+65))&amp;$CK82&amp;""),"")</f>
        <v/>
      </c>
      <c r="CM82" s="77" t="str" cm="1">
        <f t="array" aca="1" ref="CM82" ca="1">IF($CK82&lt;&gt;"",
INDIRECT(""&amp;IF(COLUMN(BZ82)&lt;=26,CHAR(COLUMN(BZ82)+64),CHAR(INT((COLUMN(BZ82)-1)/26)+64)&amp;CHAR(MOD(COLUMN(BZ82)-1,26)+65))&amp;$CK82&amp;""),"")</f>
        <v/>
      </c>
      <c r="CN82" s="77" t="str" cm="1">
        <f t="array" aca="1" ref="CN82" ca="1">IF($CK82&lt;&gt;"",
INDIRECT(""&amp;IF(COLUMN(CA82)&lt;=26,CHAR(COLUMN(CA82)+64),CHAR(INT((COLUMN(CA82)-1)/26)+64)&amp;CHAR(MOD(COLUMN(CA82)-1,26)+65))&amp;$CK82&amp;""),"")</f>
        <v/>
      </c>
      <c r="CO82" s="77" t="str" cm="1">
        <f t="array" aca="1" ref="CO82" ca="1">IF($CK82&lt;&gt;"",
INDIRECT(""&amp;IF(COLUMN(CB82)&lt;=26,CHAR(COLUMN(CB82)+64),CHAR(INT((COLUMN(CB82)-1)/26)+64)&amp;CHAR(MOD(COLUMN(CB82)-1,26)+65))&amp;$CK82&amp;""),"")</f>
        <v/>
      </c>
      <c r="CP82" s="77" t="str" cm="1">
        <f t="array" aca="1" ref="CP82" ca="1">IF($CK82&lt;&gt;"",
INDIRECT(""&amp;IF(COLUMN(CC82)&lt;=26,CHAR(COLUMN(CC82)+64),CHAR(INT((COLUMN(CC82)-1)/26)+64)&amp;CHAR(MOD(COLUMN(CC82)-1,26)+65))&amp;$CK82&amp;""),"")</f>
        <v/>
      </c>
      <c r="CQ82" s="77" t="str" cm="1">
        <f t="array" aca="1" ref="CQ82" ca="1">IF($CK82&lt;&gt;"",
INDIRECT(""&amp;IF(COLUMN(CD82)&lt;=26,CHAR(COLUMN(CD82)+64),CHAR(INT((COLUMN(CD82)-1)/26)+64)&amp;CHAR(MOD(COLUMN(CD82)-1,26)+65))&amp;$CK82&amp;""),"")</f>
        <v/>
      </c>
      <c r="CR82" s="77" t="str" cm="1">
        <f t="array" aca="1" ref="CR82" ca="1">IF($CK82&lt;&gt;"",
INDIRECT(""&amp;IF(COLUMN(CE82)&lt;=26,CHAR(COLUMN(CE82)+64),CHAR(INT((COLUMN(CE82)-1)/26)+64)&amp;CHAR(MOD(COLUMN(CE82)-1,26)+65))&amp;$CK82&amp;""),"")</f>
        <v/>
      </c>
      <c r="CS82" s="77" t="str" cm="1">
        <f t="array" aca="1" ref="CS82" ca="1">IF($CK82&lt;&gt;"",
INDIRECT(""&amp;IF(COLUMN(CF82)&lt;=26,CHAR(COLUMN(CF82)+64),CHAR(INT((COLUMN(CF82)-1)/26)+64)&amp;CHAR(MOD(COLUMN(CF82)-1,26)+65))&amp;$CK82&amp;""),"")</f>
        <v/>
      </c>
      <c r="CT82" s="77" t="str" cm="1">
        <f t="array" aca="1" ref="CT82" ca="1">IF($CK82&lt;&gt;"",
INDIRECT(""&amp;IF(COLUMN(CG82)&lt;=26,CHAR(COLUMN(CG82)+64),CHAR(INT((COLUMN(CG82)-1)/26)+64)&amp;CHAR(MOD(COLUMN(CG82)-1,26)+65))&amp;$CK82&amp;""),"")</f>
        <v/>
      </c>
      <c r="CU82" s="77" t="str" cm="1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77" customFormat="1" ht="22.2" x14ac:dyDescent="0.55000000000000004">
      <c r="A83" s="53"/>
      <c r="B83" s="84" t="str">
        <f ca="1">IF(C81&lt;&gt;"","パン箱","")</f>
        <v/>
      </c>
      <c r="C83" s="82" t="str">
        <f ca="1">IF(C81&lt;&gt;"",IF(OR(COUNTIF('盛付札（関数）'!C79,"*キャラ*"),COUNTIF('盛付札（関数）'!C79,"*赤*")),24,
VLOOKUP('盛付札（関数）'!C79,商品マスタ一覧!$D:$I,6,FALSE)),"")</f>
        <v/>
      </c>
      <c r="D83" s="84" t="str">
        <f ca="1">IF(C81&lt;&gt;"","　端数","")</f>
        <v/>
      </c>
      <c r="E83" s="82"/>
      <c r="F83" s="84" t="str">
        <f ca="1">IF(C81&lt;&gt;"","アレルギー","")</f>
        <v/>
      </c>
      <c r="G83" s="101"/>
      <c r="H83" s="53"/>
      <c r="I83" s="84" t="str">
        <f ca="1">IF(J81&lt;&gt;"","パン箱","")</f>
        <v/>
      </c>
      <c r="J83" s="82" t="str">
        <f ca="1">IF(J81&lt;&gt;"",IF(OR(COUNTIF('盛付札（関数）'!J79,"*キャラ*"),COUNTIF('盛付札（関数）'!J79,"*赤*")),24,
VLOOKUP('盛付札（関数）'!J79,商品マスタ一覧!$D:$I,6,FALSE)),"")</f>
        <v/>
      </c>
      <c r="K83" s="84" t="str">
        <f ca="1">IF(J81&lt;&gt;"","　端数","")</f>
        <v/>
      </c>
      <c r="L83" s="82"/>
      <c r="M83" s="84" t="str">
        <f ca="1">IF(J81&lt;&gt;"","アレルギー","")</f>
        <v/>
      </c>
      <c r="N83" s="101"/>
      <c r="O83" s="53"/>
      <c r="P83" s="53"/>
      <c r="Q83" s="84" t="str">
        <f ca="1">IF(R81&lt;&gt;"","パン箱","")</f>
        <v/>
      </c>
      <c r="R83" s="82" t="str">
        <f ca="1">IF(R81&lt;&gt;"",IF(OR(COUNTIF('盛付札（関数）'!R79,"*キャラ*"),COUNTIF('盛付札（関数）'!R79,"*赤*")),24,
VLOOKUP('盛付札（関数）'!R79,商品マスタ一覧!$D:$I,6,FALSE)),"")</f>
        <v/>
      </c>
      <c r="S83" s="84" t="str">
        <f ca="1">IF(R81&lt;&gt;"","　端数","")</f>
        <v/>
      </c>
      <c r="T83" s="82"/>
      <c r="U83" s="84" t="str">
        <f ca="1">IF(R81&lt;&gt;"","アレルギー","")</f>
        <v/>
      </c>
      <c r="V83" s="101"/>
      <c r="W83" s="53"/>
      <c r="X83" s="84" t="str">
        <f ca="1">IF(Y81&lt;&gt;"","パン箱","")</f>
        <v/>
      </c>
      <c r="Y83" s="82" t="str">
        <f ca="1">IF(Y81&lt;&gt;"",IF(OR(COUNTIF('盛付札（関数）'!Y79,"*キャラ*"),COUNTIF('盛付札（関数）'!Y79,"*赤*")),24,
VLOOKUP('盛付札（関数）'!Y79,商品マスタ一覧!$D:$I,6,FALSE)),"")</f>
        <v/>
      </c>
      <c r="Z83" s="84" t="str">
        <f ca="1">IF(Y81&lt;&gt;"","　端数","")</f>
        <v/>
      </c>
      <c r="AA83" s="82"/>
      <c r="AB83" s="84" t="str">
        <f ca="1">IF(Y81&lt;&gt;"","アレルギー","")</f>
        <v/>
      </c>
      <c r="AC83" s="101"/>
      <c r="AD83" s="53"/>
      <c r="AE83" s="53"/>
      <c r="AF83" s="84" t="str">
        <f ca="1">IF(AG81&lt;&gt;"","パン箱","")</f>
        <v/>
      </c>
      <c r="AG83" s="82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84" t="str">
        <f ca="1">IF(AG81&lt;&gt;"","　端数","")</f>
        <v/>
      </c>
      <c r="AI83" s="82"/>
      <c r="AJ83" s="84" t="str">
        <f ca="1">IF(AG81&lt;&gt;"","アレルギー","")</f>
        <v/>
      </c>
      <c r="AK83" s="101"/>
      <c r="AL83" s="53"/>
      <c r="AM83" s="84" t="str">
        <f ca="1">IF(AN81&lt;&gt;"","パン箱","")</f>
        <v/>
      </c>
      <c r="AN83" s="82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84" t="str">
        <f ca="1">IF(AN81&lt;&gt;"","　端数","")</f>
        <v/>
      </c>
      <c r="AP83" s="82"/>
      <c r="AQ83" s="84" t="str">
        <f ca="1">IF(AN81&lt;&gt;"","アレルギー","")</f>
        <v/>
      </c>
      <c r="AR83" s="101"/>
      <c r="AS83" s="53"/>
      <c r="AT83" s="53"/>
      <c r="AU83" s="84" t="str">
        <f ca="1">IF(AV81&lt;&gt;"","パン箱","")</f>
        <v/>
      </c>
      <c r="AV83" s="82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84" t="str">
        <f ca="1">IF(AV81&lt;&gt;"","　端数","")</f>
        <v/>
      </c>
      <c r="AX83" s="82"/>
      <c r="AY83" s="84" t="str">
        <f ca="1">IF(AV81&lt;&gt;"","アレルギー","")</f>
        <v/>
      </c>
      <c r="AZ83" s="101"/>
      <c r="BA83" s="53"/>
      <c r="BB83" s="84" t="str">
        <f ca="1">IF(BC81&lt;&gt;"","パン箱","")</f>
        <v/>
      </c>
      <c r="BC83" s="82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84" t="str">
        <f ca="1">IF(BC81&lt;&gt;"","　端数","")</f>
        <v/>
      </c>
      <c r="BE83" s="82"/>
      <c r="BF83" s="84" t="str">
        <f ca="1">IF(BC81&lt;&gt;"","アレルギー","")</f>
        <v/>
      </c>
      <c r="BG83" s="101"/>
      <c r="BH83" s="53"/>
      <c r="BI83" s="53"/>
      <c r="BJ83" s="84" t="str">
        <f ca="1">IF(BK81&lt;&gt;"","パン箱","")</f>
        <v/>
      </c>
      <c r="BK83" s="82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84" t="str">
        <f ca="1">IF(BK81&lt;&gt;"","　端数","")</f>
        <v/>
      </c>
      <c r="BM83" s="82"/>
      <c r="BN83" s="84" t="str">
        <f ca="1">IF(BK81&lt;&gt;"","アレルギー","")</f>
        <v/>
      </c>
      <c r="BO83" s="101"/>
      <c r="BP83" s="53"/>
      <c r="BQ83" s="84" t="str">
        <f ca="1">IF(BR81&lt;&gt;"","パン箱","")</f>
        <v/>
      </c>
      <c r="BR83" s="82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84" t="str">
        <f ca="1">IF(BR81&lt;&gt;"","　端数","")</f>
        <v/>
      </c>
      <c r="BT83" s="82"/>
      <c r="BU83" s="84" t="str">
        <f ca="1">IF(BR81&lt;&gt;"","アレルギー","")</f>
        <v/>
      </c>
      <c r="BV83" s="101"/>
      <c r="BW83" s="53"/>
      <c r="BX83">
        <f>BX79+7</f>
        <v>14</v>
      </c>
      <c r="BY83" s="77" t="str" cm="1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77" t="str" cm="1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77" t="str" cm="1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77" t="str" cm="1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77" t="str" cm="1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77" t="str" cm="1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77" t="str" cm="1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77" t="str" cm="1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77" t="str" cm="1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77" t="str" cm="1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77">
        <f t="shared" ca="1" si="1"/>
        <v>0</v>
      </c>
      <c r="CJ83" s="77" t="b" cm="1">
        <f t="array" aca="1" ref="CJ83" ca="1">SUMPRODUCT((LEN(BY83:CH83)&gt;0)*1)&gt;0</f>
        <v>0</v>
      </c>
      <c r="CK83" s="77" t="str">
        <f t="array" aca="1" ref="CK83" ca="1">IFERROR(SMALL(IF(CI$1:CI$100&lt;&gt;0,CI$1:CI$100),ROW(A83)),"")</f>
        <v/>
      </c>
      <c r="CL83" s="77" t="str" cm="1">
        <f t="array" aca="1" ref="CL83" ca="1">IF($CK83&lt;&gt;"",
INDIRECT(""&amp;IF(COLUMN(BY83)&lt;=26,CHAR(COLUMN(BY83)+64),CHAR(INT((COLUMN(BY83)-1)/26)+64)&amp;CHAR(MOD(COLUMN(BY83)-1,26)+65))&amp;$CK83&amp;""),"")</f>
        <v/>
      </c>
      <c r="CM83" s="77" t="str" cm="1">
        <f t="array" aca="1" ref="CM83" ca="1">IF($CK83&lt;&gt;"",
INDIRECT(""&amp;IF(COLUMN(BZ83)&lt;=26,CHAR(COLUMN(BZ83)+64),CHAR(INT((COLUMN(BZ83)-1)/26)+64)&amp;CHAR(MOD(COLUMN(BZ83)-1,26)+65))&amp;$CK83&amp;""),"")</f>
        <v/>
      </c>
      <c r="CN83" s="77" t="str" cm="1">
        <f t="array" aca="1" ref="CN83" ca="1">IF($CK83&lt;&gt;"",
INDIRECT(""&amp;IF(COLUMN(CA83)&lt;=26,CHAR(COLUMN(CA83)+64),CHAR(INT((COLUMN(CA83)-1)/26)+64)&amp;CHAR(MOD(COLUMN(CA83)-1,26)+65))&amp;$CK83&amp;""),"")</f>
        <v/>
      </c>
      <c r="CO83" s="77" t="str" cm="1">
        <f t="array" aca="1" ref="CO83" ca="1">IF($CK83&lt;&gt;"",
INDIRECT(""&amp;IF(COLUMN(CB83)&lt;=26,CHAR(COLUMN(CB83)+64),CHAR(INT((COLUMN(CB83)-1)/26)+64)&amp;CHAR(MOD(COLUMN(CB83)-1,26)+65))&amp;$CK83&amp;""),"")</f>
        <v/>
      </c>
      <c r="CP83" s="77" t="str" cm="1">
        <f t="array" aca="1" ref="CP83" ca="1">IF($CK83&lt;&gt;"",
INDIRECT(""&amp;IF(COLUMN(CC83)&lt;=26,CHAR(COLUMN(CC83)+64),CHAR(INT((COLUMN(CC83)-1)/26)+64)&amp;CHAR(MOD(COLUMN(CC83)-1,26)+65))&amp;$CK83&amp;""),"")</f>
        <v/>
      </c>
      <c r="CQ83" s="77" t="str" cm="1">
        <f t="array" aca="1" ref="CQ83" ca="1">IF($CK83&lt;&gt;"",
INDIRECT(""&amp;IF(COLUMN(CD83)&lt;=26,CHAR(COLUMN(CD83)+64),CHAR(INT((COLUMN(CD83)-1)/26)+64)&amp;CHAR(MOD(COLUMN(CD83)-1,26)+65))&amp;$CK83&amp;""),"")</f>
        <v/>
      </c>
      <c r="CR83" s="77" t="str" cm="1">
        <f t="array" aca="1" ref="CR83" ca="1">IF($CK83&lt;&gt;"",
INDIRECT(""&amp;IF(COLUMN(CE83)&lt;=26,CHAR(COLUMN(CE83)+64),CHAR(INT((COLUMN(CE83)-1)/26)+64)&amp;CHAR(MOD(COLUMN(CE83)-1,26)+65))&amp;$CK83&amp;""),"")</f>
        <v/>
      </c>
      <c r="CS83" s="77" t="str" cm="1">
        <f t="array" aca="1" ref="CS83" ca="1">IF($CK83&lt;&gt;"",
INDIRECT(""&amp;IF(COLUMN(CF83)&lt;=26,CHAR(COLUMN(CF83)+64),CHAR(INT((COLUMN(CF83)-1)/26)+64)&amp;CHAR(MOD(COLUMN(CF83)-1,26)+65))&amp;$CK83&amp;""),"")</f>
        <v/>
      </c>
      <c r="CT83" s="77" t="str" cm="1">
        <f t="array" aca="1" ref="CT83" ca="1">IF($CK83&lt;&gt;"",
INDIRECT(""&amp;IF(COLUMN(CG83)&lt;=26,CHAR(COLUMN(CG83)+64),CHAR(INT((COLUMN(CG83)-1)/26)+64)&amp;CHAR(MOD(COLUMN(CG83)-1,26)+65))&amp;$CK83&amp;""),"")</f>
        <v/>
      </c>
      <c r="CU83" s="77" t="str" cm="1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97" t="str">
        <f ca="1">IF(C81&lt;&gt;"",
IFERROR(INT(C81/C83),""),"")</f>
        <v/>
      </c>
      <c r="C84" s="95"/>
      <c r="D84" s="97" t="str">
        <f ca="1">IFERROR(MOD(C81,C83),"")</f>
        <v/>
      </c>
      <c r="E84" s="95"/>
      <c r="F84" s="98" t="str" cm="1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MATCH(C81,INDIRECT("'数出表_Excel（アレルギー入力）'!"&amp;B36-1&amp;":"&amp;B36-1&amp;""),0)-1),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MATCH(C81,INDIRECT("'数出表_Excel（アレルギー入力）'!"&amp;B36-1&amp;":"&amp;B36-1&amp;""),0)-1),
 "")="",0,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MATCH(C81,INDIRECT("'数出表_Excel（アレルギー入力）'!"&amp;B36-1&amp;":"&amp;B36-1&amp;""),0)-1),
 "")),0),"")</f>
        <v/>
      </c>
      <c r="G84" s="99"/>
      <c r="I84" s="97" t="str">
        <f ca="1">IF(J81&lt;&gt;"",
IFERROR(INT(J81/J83),""),"")</f>
        <v/>
      </c>
      <c r="J84" s="95"/>
      <c r="K84" s="97" t="str">
        <f ca="1">IFERROR(MOD(J81,J83),"")</f>
        <v/>
      </c>
      <c r="L84" s="95"/>
      <c r="M84" s="98" t="str" cm="1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MATCH(J81,INDIRECT("'数出表_Excel（アレルギー入力）'!"&amp;I36-1&amp;":"&amp;I36-1&amp;""),0)-1),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MATCH(J81,INDIRECT("'数出表_Excel（アレルギー入力）'!"&amp;I36-1&amp;":"&amp;I36-1&amp;""),0)-1),
 "")="",0,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MATCH(J81,INDIRECT("'数出表_Excel（アレルギー入力）'!"&amp;I36-1&amp;":"&amp;I36-1&amp;""),0)-1),
 "")),0),"")</f>
        <v/>
      </c>
      <c r="N84" s="99"/>
      <c r="Q84" s="97" t="str">
        <f ca="1">IF(R81&lt;&gt;"",
IFERROR(INT(R81/R83),""),"")</f>
        <v/>
      </c>
      <c r="R84" s="95"/>
      <c r="S84" s="97" t="str">
        <f ca="1">IFERROR(MOD(R81,R83),"")</f>
        <v/>
      </c>
      <c r="T84" s="95"/>
      <c r="U84" s="98" t="str" cm="1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MATCH(R81,INDIRECT("'数出表_Excel（アレルギー入力）'!"&amp;Q36-1&amp;":"&amp;Q36-1&amp;""),0)-1),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MATCH(R81,INDIRECT("'数出表_Excel（アレルギー入力）'!"&amp;Q36-1&amp;":"&amp;Q36-1&amp;""),0)-1),
 "")="",0,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MATCH(R81,INDIRECT("'数出表_Excel（アレルギー入力）'!"&amp;Q36-1&amp;":"&amp;Q36-1&amp;""),0)-1),
 "")),0),"")</f>
        <v/>
      </c>
      <c r="V84" s="99"/>
      <c r="X84" s="97" t="str">
        <f ca="1">IF(Y81&lt;&gt;"",
IFERROR(INT(Y81/Y83),""),"")</f>
        <v/>
      </c>
      <c r="Y84" s="95"/>
      <c r="Z84" s="97" t="str">
        <f ca="1">IFERROR(MOD(Y81,Y83),"")</f>
        <v/>
      </c>
      <c r="AA84" s="95"/>
      <c r="AB84" s="98" t="str" cm="1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MATCH(Y81,INDIRECT("'数出表_Excel（アレルギー入力）'!"&amp;X36-1&amp;":"&amp;X36-1&amp;""),0)-1),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MATCH(Y81,INDIRECT("'数出表_Excel（アレルギー入力）'!"&amp;X36-1&amp;":"&amp;X36-1&amp;""),0)-1),
 "")="",0,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MATCH(Y81,INDIRECT("'数出表_Excel（アレルギー入力）'!"&amp;X36-1&amp;":"&amp;X36-1&amp;""),0)-1),
 "")),0),"")</f>
        <v/>
      </c>
      <c r="AC84" s="99"/>
      <c r="AF84" s="97" t="str">
        <f ca="1">IF(AG81&lt;&gt;"",
IFERROR(INT(AG81/AG83),""),"")</f>
        <v/>
      </c>
      <c r="AG84" s="95"/>
      <c r="AH84" s="97" t="str">
        <f ca="1">IFERROR(MOD(AG81,AG83),"")</f>
        <v/>
      </c>
      <c r="AI84" s="95"/>
      <c r="AJ84" s="98" t="str" cm="1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MATCH(AG81,INDIRECT("'数出表_Excel（アレルギー入力）'!"&amp;AF36-1&amp;":"&amp;AF36-1&amp;""),0)-1),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MATCH(AG81,INDIRECT("'数出表_Excel（アレルギー入力）'!"&amp;AF36-1&amp;":"&amp;AF36-1&amp;""),0)-1),
 "")="",0,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MATCH(AG81,INDIRECT("'数出表_Excel（アレルギー入力）'!"&amp;AF36-1&amp;":"&amp;AF36-1&amp;""),0)-1),
 "")),0),"")</f>
        <v/>
      </c>
      <c r="AK84" s="99"/>
      <c r="AM84" s="97" t="str">
        <f ca="1">IF(AN81&lt;&gt;"",
IFERROR(INT(AN81/AN83),""),"")</f>
        <v/>
      </c>
      <c r="AN84" s="95"/>
      <c r="AO84" s="97" t="str">
        <f ca="1">IFERROR(MOD(AN81,AN83),"")</f>
        <v/>
      </c>
      <c r="AP84" s="95"/>
      <c r="AQ84" s="98" t="str" cm="1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MATCH(AN81,INDIRECT("'数出表_Excel（アレルギー入力）'!"&amp;AM36-1&amp;":"&amp;AM36-1&amp;""),0)-1),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MATCH(AN81,INDIRECT("'数出表_Excel（アレルギー入力）'!"&amp;AM36-1&amp;":"&amp;AM36-1&amp;""),0)-1),
 "")="",0,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MATCH(AN81,INDIRECT("'数出表_Excel（アレルギー入力）'!"&amp;AM36-1&amp;":"&amp;AM36-1&amp;""),0)-1),
 "")),0),"")</f>
        <v/>
      </c>
      <c r="AR84" s="99"/>
      <c r="AU84" s="97" t="str">
        <f ca="1">IF(AV81&lt;&gt;"",
IFERROR(INT(AV81/AV83),""),"")</f>
        <v/>
      </c>
      <c r="AV84" s="95"/>
      <c r="AW84" s="97" t="str">
        <f ca="1">IFERROR(MOD(AV81,AV83),"")</f>
        <v/>
      </c>
      <c r="AX84" s="95"/>
      <c r="AY84" s="98" t="str" cm="1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MATCH(AV81,INDIRECT("'数出表_Excel（アレルギー入力）'!"&amp;AU36-1&amp;":"&amp;AU36-1&amp;""),0)-1),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MATCH(AV81,INDIRECT("'数出表_Excel（アレルギー入力）'!"&amp;AU36-1&amp;":"&amp;AU36-1&amp;""),0)-1),
 "")="",0,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MATCH(AV81,INDIRECT("'数出表_Excel（アレルギー入力）'!"&amp;AU36-1&amp;":"&amp;AU36-1&amp;""),0)-1),
 "")),0),"")</f>
        <v/>
      </c>
      <c r="AZ84" s="99"/>
      <c r="BB84" s="97" t="str">
        <f ca="1">IF(BC81&lt;&gt;"",
IFERROR(INT(BC81/BC83),""),"")</f>
        <v/>
      </c>
      <c r="BC84" s="95"/>
      <c r="BD84" s="97" t="str">
        <f ca="1">IFERROR(MOD(BC81,BC83),"")</f>
        <v/>
      </c>
      <c r="BE84" s="95"/>
      <c r="BF84" s="98" t="str" cm="1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MATCH(BC81,INDIRECT("'数出表_Excel（アレルギー入力）'!"&amp;BB36-1&amp;":"&amp;BB36-1&amp;""),0)-1),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MATCH(BC81,INDIRECT("'数出表_Excel（アレルギー入力）'!"&amp;BB36-1&amp;":"&amp;BB36-1&amp;""),0)-1),
 "")="",0,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MATCH(BC81,INDIRECT("'数出表_Excel（アレルギー入力）'!"&amp;BB36-1&amp;":"&amp;BB36-1&amp;""),0)-1),
 "")),0),"")</f>
        <v/>
      </c>
      <c r="BG84" s="99"/>
      <c r="BJ84" s="97" t="str">
        <f ca="1">IF(BK81&lt;&gt;"",
IFERROR(INT(BK81/BK83),""),"")</f>
        <v/>
      </c>
      <c r="BK84" s="95"/>
      <c r="BL84" s="97" t="str">
        <f ca="1">IFERROR(MOD(BK81,BK83),"")</f>
        <v/>
      </c>
      <c r="BM84" s="95"/>
      <c r="BN84" s="98" t="str" cm="1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MATCH(BK81,INDIRECT("'数出表_Excel（アレルギー入力）'!"&amp;BJ36-1&amp;":"&amp;BJ36-1&amp;""),0)-1),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MATCH(BK81,INDIRECT("'数出表_Excel（アレルギー入力）'!"&amp;BJ36-1&amp;":"&amp;BJ36-1&amp;""),0)-1),
 "")="",0,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MATCH(BK81,INDIRECT("'数出表_Excel（アレルギー入力）'!"&amp;BJ36-1&amp;":"&amp;BJ36-1&amp;""),0)-1),
 "")),0),"")</f>
        <v/>
      </c>
      <c r="BO84" s="99"/>
      <c r="BQ84" s="97" t="str">
        <f ca="1">IF(BR81&lt;&gt;"",
IFERROR(INT(BR81/BR83),""),"")</f>
        <v/>
      </c>
      <c r="BR84" s="95"/>
      <c r="BS84" s="97" t="str">
        <f ca="1">IFERROR(MOD(BR81,BR83),"")</f>
        <v/>
      </c>
      <c r="BT84" s="95"/>
      <c r="BU84" s="98" t="str" cm="1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MATCH(BR81,INDIRECT("'数出表_Excel（アレルギー入力）'!"&amp;BQ36-1&amp;":"&amp;BQ36-1&amp;""),0)-1),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MATCH(BR81,INDIRECT("'数出表_Excel（アレルギー入力）'!"&amp;BQ36-1&amp;":"&amp;BQ36-1&amp;""),0)-1),
 "")="",0,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MATCH(BR81,INDIRECT("'数出表_Excel（アレルギー入力）'!"&amp;BQ36-1&amp;":"&amp;BQ36-1&amp;""),0)-1),
 "")),0),"")</f>
        <v/>
      </c>
      <c r="BV84" s="99"/>
      <c r="BX84" s="77">
        <f>BX80+7</f>
        <v>56</v>
      </c>
      <c r="BY84" s="77" t="str" cm="1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77" t="str" cm="1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77" t="str" cm="1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77" t="str" cm="1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77" t="str" cm="1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77" t="str" cm="1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77" t="str" cm="1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77" t="str" cm="1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77" t="str" cm="1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77" t="str" cm="1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77">
        <f t="shared" ca="1" si="1"/>
        <v>0</v>
      </c>
      <c r="CJ84" s="77" t="b" cm="1">
        <f t="array" aca="1" ref="CJ84" ca="1">SUMPRODUCT((LEN(BY84:CH84)&gt;0)*1)&gt;0</f>
        <v>0</v>
      </c>
      <c r="CK84" s="77" t="str">
        <f t="array" aca="1" ref="CK84" ca="1">IFERROR(SMALL(IF(CI$1:CI$100&lt;&gt;0,CI$1:CI$100),ROW(A84)),"")</f>
        <v/>
      </c>
      <c r="CL84" s="77" t="str" cm="1">
        <f t="array" aca="1" ref="CL84" ca="1">IF($CK84&lt;&gt;"",
INDIRECT(""&amp;IF(COLUMN(BY84)&lt;=26,CHAR(COLUMN(BY84)+64),CHAR(INT((COLUMN(BY84)-1)/26)+64)&amp;CHAR(MOD(COLUMN(BY84)-1,26)+65))&amp;$CK84&amp;""),"")</f>
        <v/>
      </c>
      <c r="CM84" s="77" t="str" cm="1">
        <f t="array" aca="1" ref="CM84" ca="1">IF($CK84&lt;&gt;"",
INDIRECT(""&amp;IF(COLUMN(BZ84)&lt;=26,CHAR(COLUMN(BZ84)+64),CHAR(INT((COLUMN(BZ84)-1)/26)+64)&amp;CHAR(MOD(COLUMN(BZ84)-1,26)+65))&amp;$CK84&amp;""),"")</f>
        <v/>
      </c>
      <c r="CN84" s="77" t="str" cm="1">
        <f t="array" aca="1" ref="CN84" ca="1">IF($CK84&lt;&gt;"",
INDIRECT(""&amp;IF(COLUMN(CA84)&lt;=26,CHAR(COLUMN(CA84)+64),CHAR(INT((COLUMN(CA84)-1)/26)+64)&amp;CHAR(MOD(COLUMN(CA84)-1,26)+65))&amp;$CK84&amp;""),"")</f>
        <v/>
      </c>
      <c r="CO84" s="77" t="str" cm="1">
        <f t="array" aca="1" ref="CO84" ca="1">IF($CK84&lt;&gt;"",
INDIRECT(""&amp;IF(COLUMN(CB84)&lt;=26,CHAR(COLUMN(CB84)+64),CHAR(INT((COLUMN(CB84)-1)/26)+64)&amp;CHAR(MOD(COLUMN(CB84)-1,26)+65))&amp;$CK84&amp;""),"")</f>
        <v/>
      </c>
      <c r="CP84" s="77" t="str" cm="1">
        <f t="array" aca="1" ref="CP84" ca="1">IF($CK84&lt;&gt;"",
INDIRECT(""&amp;IF(COLUMN(CC84)&lt;=26,CHAR(COLUMN(CC84)+64),CHAR(INT((COLUMN(CC84)-1)/26)+64)&amp;CHAR(MOD(COLUMN(CC84)-1,26)+65))&amp;$CK84&amp;""),"")</f>
        <v/>
      </c>
      <c r="CQ84" s="77" t="str" cm="1">
        <f t="array" aca="1" ref="CQ84" ca="1">IF($CK84&lt;&gt;"",
INDIRECT(""&amp;IF(COLUMN(CD84)&lt;=26,CHAR(COLUMN(CD84)+64),CHAR(INT((COLUMN(CD84)-1)/26)+64)&amp;CHAR(MOD(COLUMN(CD84)-1,26)+65))&amp;$CK84&amp;""),"")</f>
        <v/>
      </c>
      <c r="CR84" s="77" t="str" cm="1">
        <f t="array" aca="1" ref="CR84" ca="1">IF($CK84&lt;&gt;"",
INDIRECT(""&amp;IF(COLUMN(CE84)&lt;=26,CHAR(COLUMN(CE84)+64),CHAR(INT((COLUMN(CE84)-1)/26)+64)&amp;CHAR(MOD(COLUMN(CE84)-1,26)+65))&amp;$CK84&amp;""),"")</f>
        <v/>
      </c>
      <c r="CS84" s="77" t="str" cm="1">
        <f t="array" aca="1" ref="CS84" ca="1">IF($CK84&lt;&gt;"",
INDIRECT(""&amp;IF(COLUMN(CF84)&lt;=26,CHAR(COLUMN(CF84)+64),CHAR(INT((COLUMN(CF84)-1)/26)+64)&amp;CHAR(MOD(COLUMN(CF84)-1,26)+65))&amp;$CK84&amp;""),"")</f>
        <v/>
      </c>
      <c r="CT84" s="77" t="str" cm="1">
        <f t="array" aca="1" ref="CT84" ca="1">IF($CK84&lt;&gt;"",
INDIRECT(""&amp;IF(COLUMN(CG84)&lt;=26,CHAR(COLUMN(CG84)+64),CHAR(INT((COLUMN(CG84)-1)/26)+64)&amp;CHAR(MOD(COLUMN(CG84)-1,26)+65))&amp;$CK84&amp;""),"")</f>
        <v/>
      </c>
      <c r="CU84" s="77" t="str" cm="1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x14ac:dyDescent="0.45">
      <c r="BX85" s="77">
        <f>BX81+7</f>
        <v>21</v>
      </c>
      <c r="BY85" s="77" t="str" cm="1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77" t="str" cm="1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77" t="str" cm="1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77" t="str" cm="1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77" t="str" cm="1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77" t="str" cm="1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77" t="str" cm="1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77" t="str" cm="1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77" t="str" cm="1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77" t="str" cm="1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77">
        <f t="shared" ca="1" si="1"/>
        <v>0</v>
      </c>
      <c r="CJ85" s="77" t="b" cm="1">
        <f t="array" aca="1" ref="CJ85" ca="1">SUMPRODUCT((LEN(BY85:CH85)&gt;0)*1)&gt;0</f>
        <v>0</v>
      </c>
      <c r="CK85" s="77" t="str">
        <f t="array" aca="1" ref="CK85" ca="1">IFERROR(SMALL(IF(CI$1:CI$100&lt;&gt;0,CI$1:CI$100),ROW(A85)),"")</f>
        <v/>
      </c>
      <c r="CL85" s="77" t="str" cm="1">
        <f t="array" aca="1" ref="CL85" ca="1">IF($CK85&lt;&gt;"",
INDIRECT(""&amp;IF(COLUMN(BY85)&lt;=26,CHAR(COLUMN(BY85)+64),CHAR(INT((COLUMN(BY85)-1)/26)+64)&amp;CHAR(MOD(COLUMN(BY85)-1,26)+65))&amp;$CK85&amp;""),"")</f>
        <v/>
      </c>
      <c r="CM85" s="77" t="str" cm="1">
        <f t="array" aca="1" ref="CM85" ca="1">IF($CK85&lt;&gt;"",
INDIRECT(""&amp;IF(COLUMN(BZ85)&lt;=26,CHAR(COLUMN(BZ85)+64),CHAR(INT((COLUMN(BZ85)-1)/26)+64)&amp;CHAR(MOD(COLUMN(BZ85)-1,26)+65))&amp;$CK85&amp;""),"")</f>
        <v/>
      </c>
      <c r="CN85" s="77" t="str" cm="1">
        <f t="array" aca="1" ref="CN85" ca="1">IF($CK85&lt;&gt;"",
INDIRECT(""&amp;IF(COLUMN(CA85)&lt;=26,CHAR(COLUMN(CA85)+64),CHAR(INT((COLUMN(CA85)-1)/26)+64)&amp;CHAR(MOD(COLUMN(CA85)-1,26)+65))&amp;$CK85&amp;""),"")</f>
        <v/>
      </c>
      <c r="CO85" s="77" t="str" cm="1">
        <f t="array" aca="1" ref="CO85" ca="1">IF($CK85&lt;&gt;"",
INDIRECT(""&amp;IF(COLUMN(CB85)&lt;=26,CHAR(COLUMN(CB85)+64),CHAR(INT((COLUMN(CB85)-1)/26)+64)&amp;CHAR(MOD(COLUMN(CB85)-1,26)+65))&amp;$CK85&amp;""),"")</f>
        <v/>
      </c>
      <c r="CP85" s="77" t="str" cm="1">
        <f t="array" aca="1" ref="CP85" ca="1">IF($CK85&lt;&gt;"",
INDIRECT(""&amp;IF(COLUMN(CC85)&lt;=26,CHAR(COLUMN(CC85)+64),CHAR(INT((COLUMN(CC85)-1)/26)+64)&amp;CHAR(MOD(COLUMN(CC85)-1,26)+65))&amp;$CK85&amp;""),"")</f>
        <v/>
      </c>
      <c r="CQ85" s="77" t="str" cm="1">
        <f t="array" aca="1" ref="CQ85" ca="1">IF($CK85&lt;&gt;"",
INDIRECT(""&amp;IF(COLUMN(CD85)&lt;=26,CHAR(COLUMN(CD85)+64),CHAR(INT((COLUMN(CD85)-1)/26)+64)&amp;CHAR(MOD(COLUMN(CD85)-1,26)+65))&amp;$CK85&amp;""),"")</f>
        <v/>
      </c>
      <c r="CR85" s="77" t="str" cm="1">
        <f t="array" aca="1" ref="CR85" ca="1">IF($CK85&lt;&gt;"",
INDIRECT(""&amp;IF(COLUMN(CE85)&lt;=26,CHAR(COLUMN(CE85)+64),CHAR(INT((COLUMN(CE85)-1)/26)+64)&amp;CHAR(MOD(COLUMN(CE85)-1,26)+65))&amp;$CK85&amp;""),"")</f>
        <v/>
      </c>
      <c r="CS85" s="77" t="str" cm="1">
        <f t="array" aca="1" ref="CS85" ca="1">IF($CK85&lt;&gt;"",
INDIRECT(""&amp;IF(COLUMN(CF85)&lt;=26,CHAR(COLUMN(CF85)+64),CHAR(INT((COLUMN(CF85)-1)/26)+64)&amp;CHAR(MOD(COLUMN(CF85)-1,26)+65))&amp;$CK85&amp;""),"")</f>
        <v/>
      </c>
      <c r="CT85" s="77" t="str" cm="1">
        <f t="array" aca="1" ref="CT85" ca="1">IF($CK85&lt;&gt;"",
INDIRECT(""&amp;IF(COLUMN(CG85)&lt;=26,CHAR(COLUMN(CG85)+64),CHAR(INT((COLUMN(CG85)-1)/26)+64)&amp;CHAR(MOD(COLUMN(CG85)-1,26)+65))&amp;$CK85&amp;""),"")</f>
        <v/>
      </c>
      <c r="CU85" s="77" t="str" cm="1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x14ac:dyDescent="0.45">
      <c r="BX86" s="77">
        <f>BX82+7</f>
        <v>63</v>
      </c>
      <c r="BY86" s="77" t="str" cm="1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77" t="str" cm="1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77" t="str" cm="1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77" t="str" cm="1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77" t="str" cm="1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77" t="str" cm="1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77" t="str" cm="1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77" t="str" cm="1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77" t="str" cm="1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77" t="str" cm="1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77">
        <f t="shared" ca="1" si="1"/>
        <v>0</v>
      </c>
      <c r="CJ86" s="77" t="b" cm="1">
        <f t="array" aca="1" ref="CJ86" ca="1">SUMPRODUCT((LEN(BY86:CH86)&gt;0)*1)&gt;0</f>
        <v>0</v>
      </c>
      <c r="CK86" s="77" t="str">
        <f t="array" aca="1" ref="CK86" ca="1">IFERROR(SMALL(IF(CI$1:CI$100&lt;&gt;0,CI$1:CI$100),ROW(A86)),"")</f>
        <v/>
      </c>
      <c r="CL86" s="77" t="str" cm="1">
        <f t="array" aca="1" ref="CL86" ca="1">IF($CK86&lt;&gt;"",
INDIRECT(""&amp;IF(COLUMN(BY86)&lt;=26,CHAR(COLUMN(BY86)+64),CHAR(INT((COLUMN(BY86)-1)/26)+64)&amp;CHAR(MOD(COLUMN(BY86)-1,26)+65))&amp;$CK86&amp;""),"")</f>
        <v/>
      </c>
      <c r="CM86" s="77" t="str" cm="1">
        <f t="array" aca="1" ref="CM86" ca="1">IF($CK86&lt;&gt;"",
INDIRECT(""&amp;IF(COLUMN(BZ86)&lt;=26,CHAR(COLUMN(BZ86)+64),CHAR(INT((COLUMN(BZ86)-1)/26)+64)&amp;CHAR(MOD(COLUMN(BZ86)-1,26)+65))&amp;$CK86&amp;""),"")</f>
        <v/>
      </c>
      <c r="CN86" s="77" t="str" cm="1">
        <f t="array" aca="1" ref="CN86" ca="1">IF($CK86&lt;&gt;"",
INDIRECT(""&amp;IF(COLUMN(CA86)&lt;=26,CHAR(COLUMN(CA86)+64),CHAR(INT((COLUMN(CA86)-1)/26)+64)&amp;CHAR(MOD(COLUMN(CA86)-1,26)+65))&amp;$CK86&amp;""),"")</f>
        <v/>
      </c>
      <c r="CO86" s="77" t="str" cm="1">
        <f t="array" aca="1" ref="CO86" ca="1">IF($CK86&lt;&gt;"",
INDIRECT(""&amp;IF(COLUMN(CB86)&lt;=26,CHAR(COLUMN(CB86)+64),CHAR(INT((COLUMN(CB86)-1)/26)+64)&amp;CHAR(MOD(COLUMN(CB86)-1,26)+65))&amp;$CK86&amp;""),"")</f>
        <v/>
      </c>
      <c r="CP86" s="77" t="str" cm="1">
        <f t="array" aca="1" ref="CP86" ca="1">IF($CK86&lt;&gt;"",
INDIRECT(""&amp;IF(COLUMN(CC86)&lt;=26,CHAR(COLUMN(CC86)+64),CHAR(INT((COLUMN(CC86)-1)/26)+64)&amp;CHAR(MOD(COLUMN(CC86)-1,26)+65))&amp;$CK86&amp;""),"")</f>
        <v/>
      </c>
      <c r="CQ86" s="77" t="str" cm="1">
        <f t="array" aca="1" ref="CQ86" ca="1">IF($CK86&lt;&gt;"",
INDIRECT(""&amp;IF(COLUMN(CD86)&lt;=26,CHAR(COLUMN(CD86)+64),CHAR(INT((COLUMN(CD86)-1)/26)+64)&amp;CHAR(MOD(COLUMN(CD86)-1,26)+65))&amp;$CK86&amp;""),"")</f>
        <v/>
      </c>
      <c r="CR86" s="77" t="str" cm="1">
        <f t="array" aca="1" ref="CR86" ca="1">IF($CK86&lt;&gt;"",
INDIRECT(""&amp;IF(COLUMN(CE86)&lt;=26,CHAR(COLUMN(CE86)+64),CHAR(INT((COLUMN(CE86)-1)/26)+64)&amp;CHAR(MOD(COLUMN(CE86)-1,26)+65))&amp;$CK86&amp;""),"")</f>
        <v/>
      </c>
      <c r="CS86" s="77" t="str" cm="1">
        <f t="array" aca="1" ref="CS86" ca="1">IF($CK86&lt;&gt;"",
INDIRECT(""&amp;IF(COLUMN(CF86)&lt;=26,CHAR(COLUMN(CF86)+64),CHAR(INT((COLUMN(CF86)-1)/26)+64)&amp;CHAR(MOD(COLUMN(CF86)-1,26)+65))&amp;$CK86&amp;""),"")</f>
        <v/>
      </c>
      <c r="CT86" s="77" t="str" cm="1">
        <f t="array" aca="1" ref="CT86" ca="1">IF($CK86&lt;&gt;"",
INDIRECT(""&amp;IF(COLUMN(CG86)&lt;=26,CHAR(COLUMN(CG86)+64),CHAR(INT((COLUMN(CG86)-1)/26)+64)&amp;CHAR(MOD(COLUMN(CG86)-1,26)+65))&amp;$CK86&amp;""),"")</f>
        <v/>
      </c>
      <c r="CU86" s="77" t="str" cm="1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x14ac:dyDescent="0.45">
      <c r="BX87">
        <f>BX83+7</f>
        <v>21</v>
      </c>
      <c r="BY87" s="77" t="str" cm="1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77" t="str" cm="1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77" t="str" cm="1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77" t="str" cm="1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77" t="str" cm="1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77" t="str" cm="1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77" t="str" cm="1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77" t="str" cm="1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77" t="str" cm="1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77" t="str" cm="1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77">
        <f t="shared" ca="1" si="1"/>
        <v>0</v>
      </c>
      <c r="CJ87" s="77" t="b" cm="1">
        <f t="array" aca="1" ref="CJ87" ca="1">SUMPRODUCT((LEN(BY87:CH87)&gt;0)*1)&gt;0</f>
        <v>0</v>
      </c>
      <c r="CK87" s="77" t="str">
        <f t="array" aca="1" ref="CK87" ca="1">IFERROR(SMALL(IF(CI$1:CI$100&lt;&gt;0,CI$1:CI$100),ROW(A87)),"")</f>
        <v/>
      </c>
      <c r="CL87" s="77" t="str" cm="1">
        <f t="array" aca="1" ref="CL87" ca="1">IF($CK87&lt;&gt;"",
INDIRECT(""&amp;IF(COLUMN(BY87)&lt;=26,CHAR(COLUMN(BY87)+64),CHAR(INT((COLUMN(BY87)-1)/26)+64)&amp;CHAR(MOD(COLUMN(BY87)-1,26)+65))&amp;$CK87&amp;""),"")</f>
        <v/>
      </c>
      <c r="CM87" s="77" t="str" cm="1">
        <f t="array" aca="1" ref="CM87" ca="1">IF($CK87&lt;&gt;"",
INDIRECT(""&amp;IF(COLUMN(BZ87)&lt;=26,CHAR(COLUMN(BZ87)+64),CHAR(INT((COLUMN(BZ87)-1)/26)+64)&amp;CHAR(MOD(COLUMN(BZ87)-1,26)+65))&amp;$CK87&amp;""),"")</f>
        <v/>
      </c>
      <c r="CN87" s="77" t="str" cm="1">
        <f t="array" aca="1" ref="CN87" ca="1">IF($CK87&lt;&gt;"",
INDIRECT(""&amp;IF(COLUMN(CA87)&lt;=26,CHAR(COLUMN(CA87)+64),CHAR(INT((COLUMN(CA87)-1)/26)+64)&amp;CHAR(MOD(COLUMN(CA87)-1,26)+65))&amp;$CK87&amp;""),"")</f>
        <v/>
      </c>
      <c r="CO87" s="77" t="str" cm="1">
        <f t="array" aca="1" ref="CO87" ca="1">IF($CK87&lt;&gt;"",
INDIRECT(""&amp;IF(COLUMN(CB87)&lt;=26,CHAR(COLUMN(CB87)+64),CHAR(INT((COLUMN(CB87)-1)/26)+64)&amp;CHAR(MOD(COLUMN(CB87)-1,26)+65))&amp;$CK87&amp;""),"")</f>
        <v/>
      </c>
      <c r="CP87" s="77" t="str" cm="1">
        <f t="array" aca="1" ref="CP87" ca="1">IF($CK87&lt;&gt;"",
INDIRECT(""&amp;IF(COLUMN(CC87)&lt;=26,CHAR(COLUMN(CC87)+64),CHAR(INT((COLUMN(CC87)-1)/26)+64)&amp;CHAR(MOD(COLUMN(CC87)-1,26)+65))&amp;$CK87&amp;""),"")</f>
        <v/>
      </c>
      <c r="CQ87" s="77" t="str" cm="1">
        <f t="array" aca="1" ref="CQ87" ca="1">IF($CK87&lt;&gt;"",
INDIRECT(""&amp;IF(COLUMN(CD87)&lt;=26,CHAR(COLUMN(CD87)+64),CHAR(INT((COLUMN(CD87)-1)/26)+64)&amp;CHAR(MOD(COLUMN(CD87)-1,26)+65))&amp;$CK87&amp;""),"")</f>
        <v/>
      </c>
      <c r="CR87" s="77" t="str" cm="1">
        <f t="array" aca="1" ref="CR87" ca="1">IF($CK87&lt;&gt;"",
INDIRECT(""&amp;IF(COLUMN(CE87)&lt;=26,CHAR(COLUMN(CE87)+64),CHAR(INT((COLUMN(CE87)-1)/26)+64)&amp;CHAR(MOD(COLUMN(CE87)-1,26)+65))&amp;$CK87&amp;""),"")</f>
        <v/>
      </c>
      <c r="CS87" s="77" t="str" cm="1">
        <f t="array" aca="1" ref="CS87" ca="1">IF($CK87&lt;&gt;"",
INDIRECT(""&amp;IF(COLUMN(CF87)&lt;=26,CHAR(COLUMN(CF87)+64),CHAR(INT((COLUMN(CF87)-1)/26)+64)&amp;CHAR(MOD(COLUMN(CF87)-1,26)+65))&amp;$CK87&amp;""),"")</f>
        <v/>
      </c>
      <c r="CT87" s="77" t="str" cm="1">
        <f t="array" aca="1" ref="CT87" ca="1">IF($CK87&lt;&gt;"",
INDIRECT(""&amp;IF(COLUMN(CG87)&lt;=26,CHAR(COLUMN(CG87)+64),CHAR(INT((COLUMN(CG87)-1)/26)+64)&amp;CHAR(MOD(COLUMN(CG87)-1,26)+65))&amp;$CK87&amp;""),"")</f>
        <v/>
      </c>
      <c r="CU87" s="77" t="str" cm="1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x14ac:dyDescent="0.45">
      <c r="BX88" s="77">
        <f>BX84+7</f>
        <v>63</v>
      </c>
      <c r="BY88" s="77" t="str" cm="1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77" t="str" cm="1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77" t="str" cm="1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77" t="str" cm="1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77" t="str" cm="1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77" t="str" cm="1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77" t="str" cm="1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77" t="str" cm="1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77" t="str" cm="1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77" t="str" cm="1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77">
        <f t="shared" ca="1" si="1"/>
        <v>0</v>
      </c>
      <c r="CJ88" s="77" t="b" cm="1">
        <f t="array" aca="1" ref="CJ88" ca="1">SUMPRODUCT((LEN(BY88:CH88)&gt;0)*1)&gt;0</f>
        <v>0</v>
      </c>
      <c r="CK88" s="77" t="str">
        <f t="array" aca="1" ref="CK88" ca="1">IFERROR(SMALL(IF(CI$1:CI$100&lt;&gt;0,CI$1:CI$100),ROW(A88)),"")</f>
        <v/>
      </c>
      <c r="CL88" s="77" t="str" cm="1">
        <f t="array" aca="1" ref="CL88" ca="1">IF($CK88&lt;&gt;"",
INDIRECT(""&amp;IF(COLUMN(BY88)&lt;=26,CHAR(COLUMN(BY88)+64),CHAR(INT((COLUMN(BY88)-1)/26)+64)&amp;CHAR(MOD(COLUMN(BY88)-1,26)+65))&amp;$CK88&amp;""),"")</f>
        <v/>
      </c>
      <c r="CM88" s="77" t="str" cm="1">
        <f t="array" aca="1" ref="CM88" ca="1">IF($CK88&lt;&gt;"",
INDIRECT(""&amp;IF(COLUMN(BZ88)&lt;=26,CHAR(COLUMN(BZ88)+64),CHAR(INT((COLUMN(BZ88)-1)/26)+64)&amp;CHAR(MOD(COLUMN(BZ88)-1,26)+65))&amp;$CK88&amp;""),"")</f>
        <v/>
      </c>
      <c r="CN88" s="77" t="str" cm="1">
        <f t="array" aca="1" ref="CN88" ca="1">IF($CK88&lt;&gt;"",
INDIRECT(""&amp;IF(COLUMN(CA88)&lt;=26,CHAR(COLUMN(CA88)+64),CHAR(INT((COLUMN(CA88)-1)/26)+64)&amp;CHAR(MOD(COLUMN(CA88)-1,26)+65))&amp;$CK88&amp;""),"")</f>
        <v/>
      </c>
      <c r="CO88" s="77" t="str" cm="1">
        <f t="array" aca="1" ref="CO88" ca="1">IF($CK88&lt;&gt;"",
INDIRECT(""&amp;IF(COLUMN(CB88)&lt;=26,CHAR(COLUMN(CB88)+64),CHAR(INT((COLUMN(CB88)-1)/26)+64)&amp;CHAR(MOD(COLUMN(CB88)-1,26)+65))&amp;$CK88&amp;""),"")</f>
        <v/>
      </c>
      <c r="CP88" s="77" t="str" cm="1">
        <f t="array" aca="1" ref="CP88" ca="1">IF($CK88&lt;&gt;"",
INDIRECT(""&amp;IF(COLUMN(CC88)&lt;=26,CHAR(COLUMN(CC88)+64),CHAR(INT((COLUMN(CC88)-1)/26)+64)&amp;CHAR(MOD(COLUMN(CC88)-1,26)+65))&amp;$CK88&amp;""),"")</f>
        <v/>
      </c>
      <c r="CQ88" s="77" t="str" cm="1">
        <f t="array" aca="1" ref="CQ88" ca="1">IF($CK88&lt;&gt;"",
INDIRECT(""&amp;IF(COLUMN(CD88)&lt;=26,CHAR(COLUMN(CD88)+64),CHAR(INT((COLUMN(CD88)-1)/26)+64)&amp;CHAR(MOD(COLUMN(CD88)-1,26)+65))&amp;$CK88&amp;""),"")</f>
        <v/>
      </c>
      <c r="CR88" s="77" t="str" cm="1">
        <f t="array" aca="1" ref="CR88" ca="1">IF($CK88&lt;&gt;"",
INDIRECT(""&amp;IF(COLUMN(CE88)&lt;=26,CHAR(COLUMN(CE88)+64),CHAR(INT((COLUMN(CE88)-1)/26)+64)&amp;CHAR(MOD(COLUMN(CE88)-1,26)+65))&amp;$CK88&amp;""),"")</f>
        <v/>
      </c>
      <c r="CS88" s="77" t="str" cm="1">
        <f t="array" aca="1" ref="CS88" ca="1">IF($CK88&lt;&gt;"",
INDIRECT(""&amp;IF(COLUMN(CF88)&lt;=26,CHAR(COLUMN(CF88)+64),CHAR(INT((COLUMN(CF88)-1)/26)+64)&amp;CHAR(MOD(COLUMN(CF88)-1,26)+65))&amp;$CK88&amp;""),"")</f>
        <v/>
      </c>
      <c r="CT88" s="77" t="str" cm="1">
        <f t="array" aca="1" ref="CT88" ca="1">IF($CK88&lt;&gt;"",
INDIRECT(""&amp;IF(COLUMN(CG88)&lt;=26,CHAR(COLUMN(CG88)+64),CHAR(INT((COLUMN(CG88)-1)/26)+64)&amp;CHAR(MOD(COLUMN(CG88)-1,26)+65))&amp;$CK88&amp;""),"")</f>
        <v/>
      </c>
      <c r="CU88" s="77" t="str" cm="1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x14ac:dyDescent="0.45">
      <c r="BX89" s="77">
        <f>BX85+7</f>
        <v>28</v>
      </c>
      <c r="BY89" s="77" t="str" cm="1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77" t="str" cm="1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77" t="str" cm="1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77" t="str" cm="1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77" t="str" cm="1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77" t="str" cm="1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77" t="str" cm="1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77" t="str" cm="1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77" t="str" cm="1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77" t="str" cm="1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77">
        <f t="shared" ca="1" si="1"/>
        <v>0</v>
      </c>
      <c r="CJ89" s="77" t="b" cm="1">
        <f t="array" aca="1" ref="CJ89" ca="1">SUMPRODUCT((LEN(BY89:CH89)&gt;0)*1)&gt;0</f>
        <v>0</v>
      </c>
      <c r="CK89" s="77" t="str">
        <f t="array" aca="1" ref="CK89" ca="1">IFERROR(SMALL(IF(CI$1:CI$100&lt;&gt;0,CI$1:CI$100),ROW(A89)),"")</f>
        <v/>
      </c>
      <c r="CL89" s="77" t="str" cm="1">
        <f t="array" aca="1" ref="CL89" ca="1">IF($CK89&lt;&gt;"",
INDIRECT(""&amp;IF(COLUMN(BY89)&lt;=26,CHAR(COLUMN(BY89)+64),CHAR(INT((COLUMN(BY89)-1)/26)+64)&amp;CHAR(MOD(COLUMN(BY89)-1,26)+65))&amp;$CK89&amp;""),"")</f>
        <v/>
      </c>
      <c r="CM89" s="77" t="str" cm="1">
        <f t="array" aca="1" ref="CM89" ca="1">IF($CK89&lt;&gt;"",
INDIRECT(""&amp;IF(COLUMN(BZ89)&lt;=26,CHAR(COLUMN(BZ89)+64),CHAR(INT((COLUMN(BZ89)-1)/26)+64)&amp;CHAR(MOD(COLUMN(BZ89)-1,26)+65))&amp;$CK89&amp;""),"")</f>
        <v/>
      </c>
      <c r="CN89" s="77" t="str" cm="1">
        <f t="array" aca="1" ref="CN89" ca="1">IF($CK89&lt;&gt;"",
INDIRECT(""&amp;IF(COLUMN(CA89)&lt;=26,CHAR(COLUMN(CA89)+64),CHAR(INT((COLUMN(CA89)-1)/26)+64)&amp;CHAR(MOD(COLUMN(CA89)-1,26)+65))&amp;$CK89&amp;""),"")</f>
        <v/>
      </c>
      <c r="CO89" s="77" t="str" cm="1">
        <f t="array" aca="1" ref="CO89" ca="1">IF($CK89&lt;&gt;"",
INDIRECT(""&amp;IF(COLUMN(CB89)&lt;=26,CHAR(COLUMN(CB89)+64),CHAR(INT((COLUMN(CB89)-1)/26)+64)&amp;CHAR(MOD(COLUMN(CB89)-1,26)+65))&amp;$CK89&amp;""),"")</f>
        <v/>
      </c>
      <c r="CP89" s="77" t="str" cm="1">
        <f t="array" aca="1" ref="CP89" ca="1">IF($CK89&lt;&gt;"",
INDIRECT(""&amp;IF(COLUMN(CC89)&lt;=26,CHAR(COLUMN(CC89)+64),CHAR(INT((COLUMN(CC89)-1)/26)+64)&amp;CHAR(MOD(COLUMN(CC89)-1,26)+65))&amp;$CK89&amp;""),"")</f>
        <v/>
      </c>
      <c r="CQ89" s="77" t="str" cm="1">
        <f t="array" aca="1" ref="CQ89" ca="1">IF($CK89&lt;&gt;"",
INDIRECT(""&amp;IF(COLUMN(CD89)&lt;=26,CHAR(COLUMN(CD89)+64),CHAR(INT((COLUMN(CD89)-1)/26)+64)&amp;CHAR(MOD(COLUMN(CD89)-1,26)+65))&amp;$CK89&amp;""),"")</f>
        <v/>
      </c>
      <c r="CR89" s="77" t="str" cm="1">
        <f t="array" aca="1" ref="CR89" ca="1">IF($CK89&lt;&gt;"",
INDIRECT(""&amp;IF(COLUMN(CE89)&lt;=26,CHAR(COLUMN(CE89)+64),CHAR(INT((COLUMN(CE89)-1)/26)+64)&amp;CHAR(MOD(COLUMN(CE89)-1,26)+65))&amp;$CK89&amp;""),"")</f>
        <v/>
      </c>
      <c r="CS89" s="77" t="str" cm="1">
        <f t="array" aca="1" ref="CS89" ca="1">IF($CK89&lt;&gt;"",
INDIRECT(""&amp;IF(COLUMN(CF89)&lt;=26,CHAR(COLUMN(CF89)+64),CHAR(INT((COLUMN(CF89)-1)/26)+64)&amp;CHAR(MOD(COLUMN(CF89)-1,26)+65))&amp;$CK89&amp;""),"")</f>
        <v/>
      </c>
      <c r="CT89" s="77" t="str" cm="1">
        <f t="array" aca="1" ref="CT89" ca="1">IF($CK89&lt;&gt;"",
INDIRECT(""&amp;IF(COLUMN(CG89)&lt;=26,CHAR(COLUMN(CG89)+64),CHAR(INT((COLUMN(CG89)-1)/26)+64)&amp;CHAR(MOD(COLUMN(CG89)-1,26)+65))&amp;$CK89&amp;""),"")</f>
        <v/>
      </c>
      <c r="CU89" s="77" t="str" cm="1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x14ac:dyDescent="0.45">
      <c r="BX90" s="77">
        <f>BX86+7</f>
        <v>70</v>
      </c>
      <c r="BY90" s="77" t="str" cm="1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77" t="str" cm="1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77" t="str" cm="1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77" t="str" cm="1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77" t="str" cm="1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77" t="str" cm="1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77" t="str" cm="1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77" t="str" cm="1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77" t="str" cm="1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77" t="str" cm="1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77">
        <f t="shared" ca="1" si="1"/>
        <v>0</v>
      </c>
      <c r="CJ90" s="77" t="b" cm="1">
        <f t="array" aca="1" ref="CJ90" ca="1">SUMPRODUCT((LEN(BY90:CH90)&gt;0)*1)&gt;0</f>
        <v>0</v>
      </c>
      <c r="CK90" s="77" t="str">
        <f t="array" aca="1" ref="CK90" ca="1">IFERROR(SMALL(IF(CI$1:CI$100&lt;&gt;0,CI$1:CI$100),ROW(A90)),"")</f>
        <v/>
      </c>
      <c r="CL90" s="77" t="str" cm="1">
        <f t="array" aca="1" ref="CL90" ca="1">IF($CK90&lt;&gt;"",
INDIRECT(""&amp;IF(COLUMN(BY90)&lt;=26,CHAR(COLUMN(BY90)+64),CHAR(INT((COLUMN(BY90)-1)/26)+64)&amp;CHAR(MOD(COLUMN(BY90)-1,26)+65))&amp;$CK90&amp;""),"")</f>
        <v/>
      </c>
      <c r="CM90" s="77" t="str" cm="1">
        <f t="array" aca="1" ref="CM90" ca="1">IF($CK90&lt;&gt;"",
INDIRECT(""&amp;IF(COLUMN(BZ90)&lt;=26,CHAR(COLUMN(BZ90)+64),CHAR(INT((COLUMN(BZ90)-1)/26)+64)&amp;CHAR(MOD(COLUMN(BZ90)-1,26)+65))&amp;$CK90&amp;""),"")</f>
        <v/>
      </c>
      <c r="CN90" s="77" t="str" cm="1">
        <f t="array" aca="1" ref="CN90" ca="1">IF($CK90&lt;&gt;"",
INDIRECT(""&amp;IF(COLUMN(CA90)&lt;=26,CHAR(COLUMN(CA90)+64),CHAR(INT((COLUMN(CA90)-1)/26)+64)&amp;CHAR(MOD(COLUMN(CA90)-1,26)+65))&amp;$CK90&amp;""),"")</f>
        <v/>
      </c>
      <c r="CO90" s="77" t="str" cm="1">
        <f t="array" aca="1" ref="CO90" ca="1">IF($CK90&lt;&gt;"",
INDIRECT(""&amp;IF(COLUMN(CB90)&lt;=26,CHAR(COLUMN(CB90)+64),CHAR(INT((COLUMN(CB90)-1)/26)+64)&amp;CHAR(MOD(COLUMN(CB90)-1,26)+65))&amp;$CK90&amp;""),"")</f>
        <v/>
      </c>
      <c r="CP90" s="77" t="str" cm="1">
        <f t="array" aca="1" ref="CP90" ca="1">IF($CK90&lt;&gt;"",
INDIRECT(""&amp;IF(COLUMN(CC90)&lt;=26,CHAR(COLUMN(CC90)+64),CHAR(INT((COLUMN(CC90)-1)/26)+64)&amp;CHAR(MOD(COLUMN(CC90)-1,26)+65))&amp;$CK90&amp;""),"")</f>
        <v/>
      </c>
      <c r="CQ90" s="77" t="str" cm="1">
        <f t="array" aca="1" ref="CQ90" ca="1">IF($CK90&lt;&gt;"",
INDIRECT(""&amp;IF(COLUMN(CD90)&lt;=26,CHAR(COLUMN(CD90)+64),CHAR(INT((COLUMN(CD90)-1)/26)+64)&amp;CHAR(MOD(COLUMN(CD90)-1,26)+65))&amp;$CK90&amp;""),"")</f>
        <v/>
      </c>
      <c r="CR90" s="77" t="str" cm="1">
        <f t="array" aca="1" ref="CR90" ca="1">IF($CK90&lt;&gt;"",
INDIRECT(""&amp;IF(COLUMN(CE90)&lt;=26,CHAR(COLUMN(CE90)+64),CHAR(INT((COLUMN(CE90)-1)/26)+64)&amp;CHAR(MOD(COLUMN(CE90)-1,26)+65))&amp;$CK90&amp;""),"")</f>
        <v/>
      </c>
      <c r="CS90" s="77" t="str" cm="1">
        <f t="array" aca="1" ref="CS90" ca="1">IF($CK90&lt;&gt;"",
INDIRECT(""&amp;IF(COLUMN(CF90)&lt;=26,CHAR(COLUMN(CF90)+64),CHAR(INT((COLUMN(CF90)-1)/26)+64)&amp;CHAR(MOD(COLUMN(CF90)-1,26)+65))&amp;$CK90&amp;""),"")</f>
        <v/>
      </c>
      <c r="CT90" s="77" t="str" cm="1">
        <f t="array" aca="1" ref="CT90" ca="1">IF($CK90&lt;&gt;"",
INDIRECT(""&amp;IF(COLUMN(CG90)&lt;=26,CHAR(COLUMN(CG90)+64),CHAR(INT((COLUMN(CG90)-1)/26)+64)&amp;CHAR(MOD(COLUMN(CG90)-1,26)+65))&amp;$CK90&amp;""),"")</f>
        <v/>
      </c>
      <c r="CU90" s="77" t="str" cm="1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x14ac:dyDescent="0.45">
      <c r="BX91">
        <f>BX87+7</f>
        <v>28</v>
      </c>
      <c r="BY91" s="77" t="str" cm="1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77" t="str" cm="1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77" t="str" cm="1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77" t="str" cm="1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77" t="str" cm="1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77" t="str" cm="1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77" t="str" cm="1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77" t="str" cm="1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77" t="str" cm="1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77" t="str" cm="1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77">
        <f t="shared" ca="1" si="1"/>
        <v>0</v>
      </c>
      <c r="CJ91" s="77" t="b" cm="1">
        <f t="array" aca="1" ref="CJ91" ca="1">SUMPRODUCT((LEN(BY91:CH91)&gt;0)*1)&gt;0</f>
        <v>0</v>
      </c>
      <c r="CK91" s="77" t="str">
        <f t="array" aca="1" ref="CK91" ca="1">IFERROR(SMALL(IF(CI$1:CI$100&lt;&gt;0,CI$1:CI$100),ROW(A91)),"")</f>
        <v/>
      </c>
      <c r="CL91" s="77" t="str" cm="1">
        <f t="array" aca="1" ref="CL91" ca="1">IF($CK91&lt;&gt;"",
INDIRECT(""&amp;IF(COLUMN(BY91)&lt;=26,CHAR(COLUMN(BY91)+64),CHAR(INT((COLUMN(BY91)-1)/26)+64)&amp;CHAR(MOD(COLUMN(BY91)-1,26)+65))&amp;$CK91&amp;""),"")</f>
        <v/>
      </c>
      <c r="CM91" s="77" t="str" cm="1">
        <f t="array" aca="1" ref="CM91" ca="1">IF($CK91&lt;&gt;"",
INDIRECT(""&amp;IF(COLUMN(BZ91)&lt;=26,CHAR(COLUMN(BZ91)+64),CHAR(INT((COLUMN(BZ91)-1)/26)+64)&amp;CHAR(MOD(COLUMN(BZ91)-1,26)+65))&amp;$CK91&amp;""),"")</f>
        <v/>
      </c>
      <c r="CN91" s="77" t="str" cm="1">
        <f t="array" aca="1" ref="CN91" ca="1">IF($CK91&lt;&gt;"",
INDIRECT(""&amp;IF(COLUMN(CA91)&lt;=26,CHAR(COLUMN(CA91)+64),CHAR(INT((COLUMN(CA91)-1)/26)+64)&amp;CHAR(MOD(COLUMN(CA91)-1,26)+65))&amp;$CK91&amp;""),"")</f>
        <v/>
      </c>
      <c r="CO91" s="77" t="str" cm="1">
        <f t="array" aca="1" ref="CO91" ca="1">IF($CK91&lt;&gt;"",
INDIRECT(""&amp;IF(COLUMN(CB91)&lt;=26,CHAR(COLUMN(CB91)+64),CHAR(INT((COLUMN(CB91)-1)/26)+64)&amp;CHAR(MOD(COLUMN(CB91)-1,26)+65))&amp;$CK91&amp;""),"")</f>
        <v/>
      </c>
      <c r="CP91" s="77" t="str" cm="1">
        <f t="array" aca="1" ref="CP91" ca="1">IF($CK91&lt;&gt;"",
INDIRECT(""&amp;IF(COLUMN(CC91)&lt;=26,CHAR(COLUMN(CC91)+64),CHAR(INT((COLUMN(CC91)-1)/26)+64)&amp;CHAR(MOD(COLUMN(CC91)-1,26)+65))&amp;$CK91&amp;""),"")</f>
        <v/>
      </c>
      <c r="CQ91" s="77" t="str" cm="1">
        <f t="array" aca="1" ref="CQ91" ca="1">IF($CK91&lt;&gt;"",
INDIRECT(""&amp;IF(COLUMN(CD91)&lt;=26,CHAR(COLUMN(CD91)+64),CHAR(INT((COLUMN(CD91)-1)/26)+64)&amp;CHAR(MOD(COLUMN(CD91)-1,26)+65))&amp;$CK91&amp;""),"")</f>
        <v/>
      </c>
      <c r="CR91" s="77" t="str" cm="1">
        <f t="array" aca="1" ref="CR91" ca="1">IF($CK91&lt;&gt;"",
INDIRECT(""&amp;IF(COLUMN(CE91)&lt;=26,CHAR(COLUMN(CE91)+64),CHAR(INT((COLUMN(CE91)-1)/26)+64)&amp;CHAR(MOD(COLUMN(CE91)-1,26)+65))&amp;$CK91&amp;""),"")</f>
        <v/>
      </c>
      <c r="CS91" s="77" t="str" cm="1">
        <f t="array" aca="1" ref="CS91" ca="1">IF($CK91&lt;&gt;"",
INDIRECT(""&amp;IF(COLUMN(CF91)&lt;=26,CHAR(COLUMN(CF91)+64),CHAR(INT((COLUMN(CF91)-1)/26)+64)&amp;CHAR(MOD(COLUMN(CF91)-1,26)+65))&amp;$CK91&amp;""),"")</f>
        <v/>
      </c>
      <c r="CT91" s="77" t="str" cm="1">
        <f t="array" aca="1" ref="CT91" ca="1">IF($CK91&lt;&gt;"",
INDIRECT(""&amp;IF(COLUMN(CG91)&lt;=26,CHAR(COLUMN(CG91)+64),CHAR(INT((COLUMN(CG91)-1)/26)+64)&amp;CHAR(MOD(COLUMN(CG91)-1,26)+65))&amp;$CK91&amp;""),"")</f>
        <v/>
      </c>
      <c r="CU91" s="77" t="str" cm="1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x14ac:dyDescent="0.45">
      <c r="BX92" s="77">
        <f>BX88+7</f>
        <v>70</v>
      </c>
      <c r="BY92" s="77" t="str" cm="1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77" t="str" cm="1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77" t="str" cm="1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77" t="str" cm="1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77" t="str" cm="1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77" t="str" cm="1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77" t="str" cm="1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77" t="str" cm="1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77" t="str" cm="1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77" t="str" cm="1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77">
        <f t="shared" ca="1" si="1"/>
        <v>0</v>
      </c>
      <c r="CJ92" s="77" t="b" cm="1">
        <f t="array" aca="1" ref="CJ92" ca="1">SUMPRODUCT((LEN(BY92:CH92)&gt;0)*1)&gt;0</f>
        <v>0</v>
      </c>
      <c r="CK92" s="77" t="str">
        <f t="array" aca="1" ref="CK92" ca="1">IFERROR(SMALL(IF(CI$1:CI$100&lt;&gt;0,CI$1:CI$100),ROW(A92)),"")</f>
        <v/>
      </c>
      <c r="CL92" s="77" t="str" cm="1">
        <f t="array" aca="1" ref="CL92" ca="1">IF($CK92&lt;&gt;"",
INDIRECT(""&amp;IF(COLUMN(BY92)&lt;=26,CHAR(COLUMN(BY92)+64),CHAR(INT((COLUMN(BY92)-1)/26)+64)&amp;CHAR(MOD(COLUMN(BY92)-1,26)+65))&amp;$CK92&amp;""),"")</f>
        <v/>
      </c>
      <c r="CM92" s="77" t="str" cm="1">
        <f t="array" aca="1" ref="CM92" ca="1">IF($CK92&lt;&gt;"",
INDIRECT(""&amp;IF(COLUMN(BZ92)&lt;=26,CHAR(COLUMN(BZ92)+64),CHAR(INT((COLUMN(BZ92)-1)/26)+64)&amp;CHAR(MOD(COLUMN(BZ92)-1,26)+65))&amp;$CK92&amp;""),"")</f>
        <v/>
      </c>
      <c r="CN92" s="77" t="str" cm="1">
        <f t="array" aca="1" ref="CN92" ca="1">IF($CK92&lt;&gt;"",
INDIRECT(""&amp;IF(COLUMN(CA92)&lt;=26,CHAR(COLUMN(CA92)+64),CHAR(INT((COLUMN(CA92)-1)/26)+64)&amp;CHAR(MOD(COLUMN(CA92)-1,26)+65))&amp;$CK92&amp;""),"")</f>
        <v/>
      </c>
      <c r="CO92" s="77" t="str" cm="1">
        <f t="array" aca="1" ref="CO92" ca="1">IF($CK92&lt;&gt;"",
INDIRECT(""&amp;IF(COLUMN(CB92)&lt;=26,CHAR(COLUMN(CB92)+64),CHAR(INT((COLUMN(CB92)-1)/26)+64)&amp;CHAR(MOD(COLUMN(CB92)-1,26)+65))&amp;$CK92&amp;""),"")</f>
        <v/>
      </c>
      <c r="CP92" s="77" t="str" cm="1">
        <f t="array" aca="1" ref="CP92" ca="1">IF($CK92&lt;&gt;"",
INDIRECT(""&amp;IF(COLUMN(CC92)&lt;=26,CHAR(COLUMN(CC92)+64),CHAR(INT((COLUMN(CC92)-1)/26)+64)&amp;CHAR(MOD(COLUMN(CC92)-1,26)+65))&amp;$CK92&amp;""),"")</f>
        <v/>
      </c>
      <c r="CQ92" s="77" t="str" cm="1">
        <f t="array" aca="1" ref="CQ92" ca="1">IF($CK92&lt;&gt;"",
INDIRECT(""&amp;IF(COLUMN(CD92)&lt;=26,CHAR(COLUMN(CD92)+64),CHAR(INT((COLUMN(CD92)-1)/26)+64)&amp;CHAR(MOD(COLUMN(CD92)-1,26)+65))&amp;$CK92&amp;""),"")</f>
        <v/>
      </c>
      <c r="CR92" s="77" t="str" cm="1">
        <f t="array" aca="1" ref="CR92" ca="1">IF($CK92&lt;&gt;"",
INDIRECT(""&amp;IF(COLUMN(CE92)&lt;=26,CHAR(COLUMN(CE92)+64),CHAR(INT((COLUMN(CE92)-1)/26)+64)&amp;CHAR(MOD(COLUMN(CE92)-1,26)+65))&amp;$CK92&amp;""),"")</f>
        <v/>
      </c>
      <c r="CS92" s="77" t="str" cm="1">
        <f t="array" aca="1" ref="CS92" ca="1">IF($CK92&lt;&gt;"",
INDIRECT(""&amp;IF(COLUMN(CF92)&lt;=26,CHAR(COLUMN(CF92)+64),CHAR(INT((COLUMN(CF92)-1)/26)+64)&amp;CHAR(MOD(COLUMN(CF92)-1,26)+65))&amp;$CK92&amp;""),"")</f>
        <v/>
      </c>
      <c r="CT92" s="77" t="str" cm="1">
        <f t="array" aca="1" ref="CT92" ca="1">IF($CK92&lt;&gt;"",
INDIRECT(""&amp;IF(COLUMN(CG92)&lt;=26,CHAR(COLUMN(CG92)+64),CHAR(INT((COLUMN(CG92)-1)/26)+64)&amp;CHAR(MOD(COLUMN(CG92)-1,26)+65))&amp;$CK92&amp;""),"")</f>
        <v/>
      </c>
      <c r="CU92" s="77" t="str" cm="1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x14ac:dyDescent="0.45">
      <c r="BX93" s="77">
        <f>BX89+7</f>
        <v>35</v>
      </c>
      <c r="BY93" s="77" t="str" cm="1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77" t="str" cm="1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77" t="str" cm="1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77" t="str" cm="1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77" t="str" cm="1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77" t="str" cm="1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77" t="str" cm="1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77" t="str" cm="1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77" t="str" cm="1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77" t="str" cm="1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77">
        <f t="shared" ca="1" si="1"/>
        <v>0</v>
      </c>
      <c r="CJ93" s="77" t="b" cm="1">
        <f t="array" aca="1" ref="CJ93" ca="1">SUMPRODUCT((LEN(BY93:CH93)&gt;0)*1)&gt;0</f>
        <v>0</v>
      </c>
      <c r="CK93" s="77" t="str">
        <f t="array" aca="1" ref="CK93" ca="1">IFERROR(SMALL(IF(CI$1:CI$100&lt;&gt;0,CI$1:CI$100),ROW(A93)),"")</f>
        <v/>
      </c>
      <c r="CL93" s="77" t="str" cm="1">
        <f t="array" aca="1" ref="CL93" ca="1">IF($CK93&lt;&gt;"",
INDIRECT(""&amp;IF(COLUMN(BY93)&lt;=26,CHAR(COLUMN(BY93)+64),CHAR(INT((COLUMN(BY93)-1)/26)+64)&amp;CHAR(MOD(COLUMN(BY93)-1,26)+65))&amp;$CK93&amp;""),"")</f>
        <v/>
      </c>
      <c r="CM93" s="77" t="str" cm="1">
        <f t="array" aca="1" ref="CM93" ca="1">IF($CK93&lt;&gt;"",
INDIRECT(""&amp;IF(COLUMN(BZ93)&lt;=26,CHAR(COLUMN(BZ93)+64),CHAR(INT((COLUMN(BZ93)-1)/26)+64)&amp;CHAR(MOD(COLUMN(BZ93)-1,26)+65))&amp;$CK93&amp;""),"")</f>
        <v/>
      </c>
      <c r="CN93" s="77" t="str" cm="1">
        <f t="array" aca="1" ref="CN93" ca="1">IF($CK93&lt;&gt;"",
INDIRECT(""&amp;IF(COLUMN(CA93)&lt;=26,CHAR(COLUMN(CA93)+64),CHAR(INT((COLUMN(CA93)-1)/26)+64)&amp;CHAR(MOD(COLUMN(CA93)-1,26)+65))&amp;$CK93&amp;""),"")</f>
        <v/>
      </c>
      <c r="CO93" s="77" t="str" cm="1">
        <f t="array" aca="1" ref="CO93" ca="1">IF($CK93&lt;&gt;"",
INDIRECT(""&amp;IF(COLUMN(CB93)&lt;=26,CHAR(COLUMN(CB93)+64),CHAR(INT((COLUMN(CB93)-1)/26)+64)&amp;CHAR(MOD(COLUMN(CB93)-1,26)+65))&amp;$CK93&amp;""),"")</f>
        <v/>
      </c>
      <c r="CP93" s="77" t="str" cm="1">
        <f t="array" aca="1" ref="CP93" ca="1">IF($CK93&lt;&gt;"",
INDIRECT(""&amp;IF(COLUMN(CC93)&lt;=26,CHAR(COLUMN(CC93)+64),CHAR(INT((COLUMN(CC93)-1)/26)+64)&amp;CHAR(MOD(COLUMN(CC93)-1,26)+65))&amp;$CK93&amp;""),"")</f>
        <v/>
      </c>
      <c r="CQ93" s="77" t="str" cm="1">
        <f t="array" aca="1" ref="CQ93" ca="1">IF($CK93&lt;&gt;"",
INDIRECT(""&amp;IF(COLUMN(CD93)&lt;=26,CHAR(COLUMN(CD93)+64),CHAR(INT((COLUMN(CD93)-1)/26)+64)&amp;CHAR(MOD(COLUMN(CD93)-1,26)+65))&amp;$CK93&amp;""),"")</f>
        <v/>
      </c>
      <c r="CR93" s="77" t="str" cm="1">
        <f t="array" aca="1" ref="CR93" ca="1">IF($CK93&lt;&gt;"",
INDIRECT(""&amp;IF(COLUMN(CE93)&lt;=26,CHAR(COLUMN(CE93)+64),CHAR(INT((COLUMN(CE93)-1)/26)+64)&amp;CHAR(MOD(COLUMN(CE93)-1,26)+65))&amp;$CK93&amp;""),"")</f>
        <v/>
      </c>
      <c r="CS93" s="77" t="str" cm="1">
        <f t="array" aca="1" ref="CS93" ca="1">IF($CK93&lt;&gt;"",
INDIRECT(""&amp;IF(COLUMN(CF93)&lt;=26,CHAR(COLUMN(CF93)+64),CHAR(INT((COLUMN(CF93)-1)/26)+64)&amp;CHAR(MOD(COLUMN(CF93)-1,26)+65))&amp;$CK93&amp;""),"")</f>
        <v/>
      </c>
      <c r="CT93" s="77" t="str" cm="1">
        <f t="array" aca="1" ref="CT93" ca="1">IF($CK93&lt;&gt;"",
INDIRECT(""&amp;IF(COLUMN(CG93)&lt;=26,CHAR(COLUMN(CG93)+64),CHAR(INT((COLUMN(CG93)-1)/26)+64)&amp;CHAR(MOD(COLUMN(CG93)-1,26)+65))&amp;$CK93&amp;""),"")</f>
        <v/>
      </c>
      <c r="CU93" s="77" t="str" cm="1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x14ac:dyDescent="0.45">
      <c r="BX94" s="77">
        <f>BX90+7</f>
        <v>77</v>
      </c>
      <c r="BY94" s="77" t="str" cm="1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77" t="str" cm="1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77" t="str" cm="1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77" t="str" cm="1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77" t="str" cm="1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77" t="str" cm="1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77" t="str" cm="1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77" t="str" cm="1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77" t="str" cm="1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77" t="str" cm="1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77">
        <f t="shared" ca="1" si="1"/>
        <v>0</v>
      </c>
      <c r="CJ94" s="77" t="b" cm="1">
        <f t="array" aca="1" ref="CJ94" ca="1">SUMPRODUCT((LEN(BY94:CH94)&gt;0)*1)&gt;0</f>
        <v>0</v>
      </c>
      <c r="CK94" s="77" t="str">
        <f t="array" aca="1" ref="CK94" ca="1">IFERROR(SMALL(IF(CI$1:CI$100&lt;&gt;0,CI$1:CI$100),ROW(A94)),"")</f>
        <v/>
      </c>
      <c r="CL94" s="77" t="str" cm="1">
        <f t="array" aca="1" ref="CL94" ca="1">IF($CK94&lt;&gt;"",
INDIRECT(""&amp;IF(COLUMN(BY94)&lt;=26,CHAR(COLUMN(BY94)+64),CHAR(INT((COLUMN(BY94)-1)/26)+64)&amp;CHAR(MOD(COLUMN(BY94)-1,26)+65))&amp;$CK94&amp;""),"")</f>
        <v/>
      </c>
      <c r="CM94" s="77" t="str" cm="1">
        <f t="array" aca="1" ref="CM94" ca="1">IF($CK94&lt;&gt;"",
INDIRECT(""&amp;IF(COLUMN(BZ94)&lt;=26,CHAR(COLUMN(BZ94)+64),CHAR(INT((COLUMN(BZ94)-1)/26)+64)&amp;CHAR(MOD(COLUMN(BZ94)-1,26)+65))&amp;$CK94&amp;""),"")</f>
        <v/>
      </c>
      <c r="CN94" s="77" t="str" cm="1">
        <f t="array" aca="1" ref="CN94" ca="1">IF($CK94&lt;&gt;"",
INDIRECT(""&amp;IF(COLUMN(CA94)&lt;=26,CHAR(COLUMN(CA94)+64),CHAR(INT((COLUMN(CA94)-1)/26)+64)&amp;CHAR(MOD(COLUMN(CA94)-1,26)+65))&amp;$CK94&amp;""),"")</f>
        <v/>
      </c>
      <c r="CO94" s="77" t="str" cm="1">
        <f t="array" aca="1" ref="CO94" ca="1">IF($CK94&lt;&gt;"",
INDIRECT(""&amp;IF(COLUMN(CB94)&lt;=26,CHAR(COLUMN(CB94)+64),CHAR(INT((COLUMN(CB94)-1)/26)+64)&amp;CHAR(MOD(COLUMN(CB94)-1,26)+65))&amp;$CK94&amp;""),"")</f>
        <v/>
      </c>
      <c r="CP94" s="77" t="str" cm="1">
        <f t="array" aca="1" ref="CP94" ca="1">IF($CK94&lt;&gt;"",
INDIRECT(""&amp;IF(COLUMN(CC94)&lt;=26,CHAR(COLUMN(CC94)+64),CHAR(INT((COLUMN(CC94)-1)/26)+64)&amp;CHAR(MOD(COLUMN(CC94)-1,26)+65))&amp;$CK94&amp;""),"")</f>
        <v/>
      </c>
      <c r="CQ94" s="77" t="str" cm="1">
        <f t="array" aca="1" ref="CQ94" ca="1">IF($CK94&lt;&gt;"",
INDIRECT(""&amp;IF(COLUMN(CD94)&lt;=26,CHAR(COLUMN(CD94)+64),CHAR(INT((COLUMN(CD94)-1)/26)+64)&amp;CHAR(MOD(COLUMN(CD94)-1,26)+65))&amp;$CK94&amp;""),"")</f>
        <v/>
      </c>
      <c r="CR94" s="77" t="str" cm="1">
        <f t="array" aca="1" ref="CR94" ca="1">IF($CK94&lt;&gt;"",
INDIRECT(""&amp;IF(COLUMN(CE94)&lt;=26,CHAR(COLUMN(CE94)+64),CHAR(INT((COLUMN(CE94)-1)/26)+64)&amp;CHAR(MOD(COLUMN(CE94)-1,26)+65))&amp;$CK94&amp;""),"")</f>
        <v/>
      </c>
      <c r="CS94" s="77" t="str" cm="1">
        <f t="array" aca="1" ref="CS94" ca="1">IF($CK94&lt;&gt;"",
INDIRECT(""&amp;IF(COLUMN(CF94)&lt;=26,CHAR(COLUMN(CF94)+64),CHAR(INT((COLUMN(CF94)-1)/26)+64)&amp;CHAR(MOD(COLUMN(CF94)-1,26)+65))&amp;$CK94&amp;""),"")</f>
        <v/>
      </c>
      <c r="CT94" s="77" t="str" cm="1">
        <f t="array" aca="1" ref="CT94" ca="1">IF($CK94&lt;&gt;"",
INDIRECT(""&amp;IF(COLUMN(CG94)&lt;=26,CHAR(COLUMN(CG94)+64),CHAR(INT((COLUMN(CG94)-1)/26)+64)&amp;CHAR(MOD(COLUMN(CG94)-1,26)+65))&amp;$CK94&amp;""),"")</f>
        <v/>
      </c>
      <c r="CU94" s="77" t="str" cm="1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x14ac:dyDescent="0.45">
      <c r="BX95">
        <f>BX91+7</f>
        <v>35</v>
      </c>
      <c r="BY95" s="77" t="str" cm="1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77" t="str" cm="1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77" t="str" cm="1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77" t="str" cm="1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77" t="str" cm="1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77" t="str" cm="1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77" t="str" cm="1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77" t="str" cm="1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77" t="str" cm="1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77" t="str" cm="1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77">
        <f t="shared" ca="1" si="1"/>
        <v>0</v>
      </c>
      <c r="CJ95" s="77" t="b" cm="1">
        <f t="array" aca="1" ref="CJ95" ca="1">SUMPRODUCT((LEN(BY95:CH95)&gt;0)*1)&gt;0</f>
        <v>0</v>
      </c>
      <c r="CK95" s="77" t="str">
        <f t="array" aca="1" ref="CK95" ca="1">IFERROR(SMALL(IF(CI$1:CI$100&lt;&gt;0,CI$1:CI$100),ROW(A95)),"")</f>
        <v/>
      </c>
      <c r="CL95" s="77" t="str" cm="1">
        <f t="array" aca="1" ref="CL95" ca="1">IF($CK95&lt;&gt;"",
INDIRECT(""&amp;IF(COLUMN(BY95)&lt;=26,CHAR(COLUMN(BY95)+64),CHAR(INT((COLUMN(BY95)-1)/26)+64)&amp;CHAR(MOD(COLUMN(BY95)-1,26)+65))&amp;$CK95&amp;""),"")</f>
        <v/>
      </c>
      <c r="CM95" s="77" t="str" cm="1">
        <f t="array" aca="1" ref="CM95" ca="1">IF($CK95&lt;&gt;"",
INDIRECT(""&amp;IF(COLUMN(BZ95)&lt;=26,CHAR(COLUMN(BZ95)+64),CHAR(INT((COLUMN(BZ95)-1)/26)+64)&amp;CHAR(MOD(COLUMN(BZ95)-1,26)+65))&amp;$CK95&amp;""),"")</f>
        <v/>
      </c>
      <c r="CN95" s="77" t="str" cm="1">
        <f t="array" aca="1" ref="CN95" ca="1">IF($CK95&lt;&gt;"",
INDIRECT(""&amp;IF(COLUMN(CA95)&lt;=26,CHAR(COLUMN(CA95)+64),CHAR(INT((COLUMN(CA95)-1)/26)+64)&amp;CHAR(MOD(COLUMN(CA95)-1,26)+65))&amp;$CK95&amp;""),"")</f>
        <v/>
      </c>
      <c r="CO95" s="77" t="str" cm="1">
        <f t="array" aca="1" ref="CO95" ca="1">IF($CK95&lt;&gt;"",
INDIRECT(""&amp;IF(COLUMN(CB95)&lt;=26,CHAR(COLUMN(CB95)+64),CHAR(INT((COLUMN(CB95)-1)/26)+64)&amp;CHAR(MOD(COLUMN(CB95)-1,26)+65))&amp;$CK95&amp;""),"")</f>
        <v/>
      </c>
      <c r="CP95" s="77" t="str" cm="1">
        <f t="array" aca="1" ref="CP95" ca="1">IF($CK95&lt;&gt;"",
INDIRECT(""&amp;IF(COLUMN(CC95)&lt;=26,CHAR(COLUMN(CC95)+64),CHAR(INT((COLUMN(CC95)-1)/26)+64)&amp;CHAR(MOD(COLUMN(CC95)-1,26)+65))&amp;$CK95&amp;""),"")</f>
        <v/>
      </c>
      <c r="CQ95" s="77" t="str" cm="1">
        <f t="array" aca="1" ref="CQ95" ca="1">IF($CK95&lt;&gt;"",
INDIRECT(""&amp;IF(COLUMN(CD95)&lt;=26,CHAR(COLUMN(CD95)+64),CHAR(INT((COLUMN(CD95)-1)/26)+64)&amp;CHAR(MOD(COLUMN(CD95)-1,26)+65))&amp;$CK95&amp;""),"")</f>
        <v/>
      </c>
      <c r="CR95" s="77" t="str" cm="1">
        <f t="array" aca="1" ref="CR95" ca="1">IF($CK95&lt;&gt;"",
INDIRECT(""&amp;IF(COLUMN(CE95)&lt;=26,CHAR(COLUMN(CE95)+64),CHAR(INT((COLUMN(CE95)-1)/26)+64)&amp;CHAR(MOD(COLUMN(CE95)-1,26)+65))&amp;$CK95&amp;""),"")</f>
        <v/>
      </c>
      <c r="CS95" s="77" t="str" cm="1">
        <f t="array" aca="1" ref="CS95" ca="1">IF($CK95&lt;&gt;"",
INDIRECT(""&amp;IF(COLUMN(CF95)&lt;=26,CHAR(COLUMN(CF95)+64),CHAR(INT((COLUMN(CF95)-1)/26)+64)&amp;CHAR(MOD(COLUMN(CF95)-1,26)+65))&amp;$CK95&amp;""),"")</f>
        <v/>
      </c>
      <c r="CT95" s="77" t="str" cm="1">
        <f t="array" aca="1" ref="CT95" ca="1">IF($CK95&lt;&gt;"",
INDIRECT(""&amp;IF(COLUMN(CG95)&lt;=26,CHAR(COLUMN(CG95)+64),CHAR(INT((COLUMN(CG95)-1)/26)+64)&amp;CHAR(MOD(COLUMN(CG95)-1,26)+65))&amp;$CK95&amp;""),"")</f>
        <v/>
      </c>
      <c r="CU95" s="77" t="str" cm="1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x14ac:dyDescent="0.45">
      <c r="BX96" s="77">
        <f>BX92+7</f>
        <v>77</v>
      </c>
      <c r="BY96" s="77" t="str" cm="1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77" t="str" cm="1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77" t="str" cm="1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77" t="str" cm="1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77" t="str" cm="1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77" t="str" cm="1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77" t="str" cm="1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77" t="str" cm="1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77" t="str" cm="1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77" t="str" cm="1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77">
        <f t="shared" ca="1" si="1"/>
        <v>0</v>
      </c>
      <c r="CJ96" s="77" t="b" cm="1">
        <f t="array" aca="1" ref="CJ96" ca="1">SUMPRODUCT((LEN(BY96:CH96)&gt;0)*1)&gt;0</f>
        <v>0</v>
      </c>
      <c r="CK96" s="77" t="str">
        <f t="array" aca="1" ref="CK96" ca="1">IFERROR(SMALL(IF(CI$1:CI$100&lt;&gt;0,CI$1:CI$100),ROW(A96)),"")</f>
        <v/>
      </c>
      <c r="CL96" s="77" t="str" cm="1">
        <f t="array" aca="1" ref="CL96" ca="1">IF($CK96&lt;&gt;"",
INDIRECT(""&amp;IF(COLUMN(BY96)&lt;=26,CHAR(COLUMN(BY96)+64),CHAR(INT((COLUMN(BY96)-1)/26)+64)&amp;CHAR(MOD(COLUMN(BY96)-1,26)+65))&amp;$CK96&amp;""),"")</f>
        <v/>
      </c>
      <c r="CM96" s="77" t="str" cm="1">
        <f t="array" aca="1" ref="CM96" ca="1">IF($CK96&lt;&gt;"",
INDIRECT(""&amp;IF(COLUMN(BZ96)&lt;=26,CHAR(COLUMN(BZ96)+64),CHAR(INT((COLUMN(BZ96)-1)/26)+64)&amp;CHAR(MOD(COLUMN(BZ96)-1,26)+65))&amp;$CK96&amp;""),"")</f>
        <v/>
      </c>
      <c r="CN96" s="77" t="str" cm="1">
        <f t="array" aca="1" ref="CN96" ca="1">IF($CK96&lt;&gt;"",
INDIRECT(""&amp;IF(COLUMN(CA96)&lt;=26,CHAR(COLUMN(CA96)+64),CHAR(INT((COLUMN(CA96)-1)/26)+64)&amp;CHAR(MOD(COLUMN(CA96)-1,26)+65))&amp;$CK96&amp;""),"")</f>
        <v/>
      </c>
      <c r="CO96" s="77" t="str" cm="1">
        <f t="array" aca="1" ref="CO96" ca="1">IF($CK96&lt;&gt;"",
INDIRECT(""&amp;IF(COLUMN(CB96)&lt;=26,CHAR(COLUMN(CB96)+64),CHAR(INT((COLUMN(CB96)-1)/26)+64)&amp;CHAR(MOD(COLUMN(CB96)-1,26)+65))&amp;$CK96&amp;""),"")</f>
        <v/>
      </c>
      <c r="CP96" s="77" t="str" cm="1">
        <f t="array" aca="1" ref="CP96" ca="1">IF($CK96&lt;&gt;"",
INDIRECT(""&amp;IF(COLUMN(CC96)&lt;=26,CHAR(COLUMN(CC96)+64),CHAR(INT((COLUMN(CC96)-1)/26)+64)&amp;CHAR(MOD(COLUMN(CC96)-1,26)+65))&amp;$CK96&amp;""),"")</f>
        <v/>
      </c>
      <c r="CQ96" s="77" t="str" cm="1">
        <f t="array" aca="1" ref="CQ96" ca="1">IF($CK96&lt;&gt;"",
INDIRECT(""&amp;IF(COLUMN(CD96)&lt;=26,CHAR(COLUMN(CD96)+64),CHAR(INT((COLUMN(CD96)-1)/26)+64)&amp;CHAR(MOD(COLUMN(CD96)-1,26)+65))&amp;$CK96&amp;""),"")</f>
        <v/>
      </c>
      <c r="CR96" s="77" t="str" cm="1">
        <f t="array" aca="1" ref="CR96" ca="1">IF($CK96&lt;&gt;"",
INDIRECT(""&amp;IF(COLUMN(CE96)&lt;=26,CHAR(COLUMN(CE96)+64),CHAR(INT((COLUMN(CE96)-1)/26)+64)&amp;CHAR(MOD(COLUMN(CE96)-1,26)+65))&amp;$CK96&amp;""),"")</f>
        <v/>
      </c>
      <c r="CS96" s="77" t="str" cm="1">
        <f t="array" aca="1" ref="CS96" ca="1">IF($CK96&lt;&gt;"",
INDIRECT(""&amp;IF(COLUMN(CF96)&lt;=26,CHAR(COLUMN(CF96)+64),CHAR(INT((COLUMN(CF96)-1)/26)+64)&amp;CHAR(MOD(COLUMN(CF96)-1,26)+65))&amp;$CK96&amp;""),"")</f>
        <v/>
      </c>
      <c r="CT96" s="77" t="str" cm="1">
        <f t="array" aca="1" ref="CT96" ca="1">IF($CK96&lt;&gt;"",
INDIRECT(""&amp;IF(COLUMN(CG96)&lt;=26,CHAR(COLUMN(CG96)+64),CHAR(INT((COLUMN(CG96)-1)/26)+64)&amp;CHAR(MOD(COLUMN(CG96)-1,26)+65))&amp;$CK96&amp;""),"")</f>
        <v/>
      </c>
      <c r="CU96" s="77" t="str" cm="1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x14ac:dyDescent="0.45">
      <c r="BX97" s="77"/>
      <c r="BY97" s="115" t="str">
        <f ca="1">BK1</f>
        <v/>
      </c>
      <c r="BZ97" s="115" t="str">
        <f ca="1">BK2</f>
        <v/>
      </c>
      <c r="CA97" s="115" t="str">
        <f ca="1">BM2</f>
        <v/>
      </c>
      <c r="CB97" s="116" t="str">
        <f ca="1">BN2</f>
        <v/>
      </c>
      <c r="CC97" s="115" t="str">
        <f ca="1">BK4</f>
        <v/>
      </c>
      <c r="CD97" s="115" t="str">
        <f ca="1">BM4</f>
        <v/>
      </c>
      <c r="CE97" s="115" t="str">
        <f ca="1">BK6</f>
        <v/>
      </c>
      <c r="CF97" s="115" t="str">
        <f ca="1">BJ7</f>
        <v/>
      </c>
      <c r="CG97" s="115" t="str">
        <f ca="1">BL7</f>
        <v/>
      </c>
      <c r="CH97" s="115" t="str">
        <f ca="1">BN7</f>
        <v/>
      </c>
      <c r="CI97" s="77">
        <f t="shared" ca="1" si="1"/>
        <v>0</v>
      </c>
      <c r="CJ97" s="77" t="b" cm="1">
        <f t="array" aca="1" ref="CJ97" ca="1">SUMPRODUCT((LEN(BY97:CH97)&gt;0)*1)&gt;0</f>
        <v>0</v>
      </c>
      <c r="CK97" s="77" t="str">
        <f t="array" aca="1" ref="CK97" ca="1">IFERROR(SMALL(IF(CI$1:CI$100&lt;&gt;0,CI$1:CI$100),ROW(A97)),"")</f>
        <v/>
      </c>
      <c r="CL97" s="77" t="str" cm="1">
        <f t="array" aca="1" ref="CL97" ca="1">IF($CK97&lt;&gt;"",
INDIRECT(""&amp;IF(COLUMN(BY97)&lt;=26,CHAR(COLUMN(BY97)+64),CHAR(INT((COLUMN(BY97)-1)/26)+64)&amp;CHAR(MOD(COLUMN(BY97)-1,26)+65))&amp;$CK97&amp;""),"")</f>
        <v/>
      </c>
      <c r="CM97" s="77" t="str" cm="1">
        <f t="array" aca="1" ref="CM97" ca="1">IF($CK97&lt;&gt;"",
INDIRECT(""&amp;IF(COLUMN(BZ97)&lt;=26,CHAR(COLUMN(BZ97)+64),CHAR(INT((COLUMN(BZ97)-1)/26)+64)&amp;CHAR(MOD(COLUMN(BZ97)-1,26)+65))&amp;$CK97&amp;""),"")</f>
        <v/>
      </c>
      <c r="CN97" s="77" t="str" cm="1">
        <f t="array" aca="1" ref="CN97" ca="1">IF($CK97&lt;&gt;"",
INDIRECT(""&amp;IF(COLUMN(CA97)&lt;=26,CHAR(COLUMN(CA97)+64),CHAR(INT((COLUMN(CA97)-1)/26)+64)&amp;CHAR(MOD(COLUMN(CA97)-1,26)+65))&amp;$CK97&amp;""),"")</f>
        <v/>
      </c>
      <c r="CO97" s="77" t="str" cm="1">
        <f t="array" aca="1" ref="CO97" ca="1">IF($CK97&lt;&gt;"",
INDIRECT(""&amp;IF(COLUMN(CB97)&lt;=26,CHAR(COLUMN(CB97)+64),CHAR(INT((COLUMN(CB97)-1)/26)+64)&amp;CHAR(MOD(COLUMN(CB97)-1,26)+65))&amp;$CK97&amp;""),"")</f>
        <v/>
      </c>
      <c r="CP97" s="77" t="str" cm="1">
        <f t="array" aca="1" ref="CP97" ca="1">IF($CK97&lt;&gt;"",
INDIRECT(""&amp;IF(COLUMN(CC97)&lt;=26,CHAR(COLUMN(CC97)+64),CHAR(INT((COLUMN(CC97)-1)/26)+64)&amp;CHAR(MOD(COLUMN(CC97)-1,26)+65))&amp;$CK97&amp;""),"")</f>
        <v/>
      </c>
      <c r="CQ97" s="77" t="str" cm="1">
        <f t="array" aca="1" ref="CQ97" ca="1">IF($CK97&lt;&gt;"",
INDIRECT(""&amp;IF(COLUMN(CD97)&lt;=26,CHAR(COLUMN(CD97)+64),CHAR(INT((COLUMN(CD97)-1)/26)+64)&amp;CHAR(MOD(COLUMN(CD97)-1,26)+65))&amp;$CK97&amp;""),"")</f>
        <v/>
      </c>
      <c r="CR97" s="77" t="str" cm="1">
        <f t="array" aca="1" ref="CR97" ca="1">IF($CK97&lt;&gt;"",
INDIRECT(""&amp;IF(COLUMN(CE97)&lt;=26,CHAR(COLUMN(CE97)+64),CHAR(INT((COLUMN(CE97)-1)/26)+64)&amp;CHAR(MOD(COLUMN(CE97)-1,26)+65))&amp;$CK97&amp;""),"")</f>
        <v/>
      </c>
      <c r="CS97" s="77" t="str" cm="1">
        <f t="array" aca="1" ref="CS97" ca="1">IF($CK97&lt;&gt;"",
INDIRECT(""&amp;IF(COLUMN(CF97)&lt;=26,CHAR(COLUMN(CF97)+64),CHAR(INT((COLUMN(CF97)-1)/26)+64)&amp;CHAR(MOD(COLUMN(CF97)-1,26)+65))&amp;$CK97&amp;""),"")</f>
        <v/>
      </c>
      <c r="CT97" s="77" t="str" cm="1">
        <f t="array" aca="1" ref="CT97" ca="1">IF($CK97&lt;&gt;"",
INDIRECT(""&amp;IF(COLUMN(CG97)&lt;=26,CHAR(COLUMN(CG97)+64),CHAR(INT((COLUMN(CG97)-1)/26)+64)&amp;CHAR(MOD(COLUMN(CG97)-1,26)+65))&amp;$CK97&amp;""),"")</f>
        <v/>
      </c>
      <c r="CU97" s="77" t="str" cm="1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x14ac:dyDescent="0.45">
      <c r="BX98" s="77">
        <v>42</v>
      </c>
      <c r="BY98" s="77" t="str" cm="1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77" t="str" cm="1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77" t="str" cm="1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77" t="str" cm="1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77" t="str" cm="1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77" t="str" cm="1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77" t="str" cm="1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77" t="str" cm="1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77" t="str" cm="1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77" t="str" cm="1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77">
        <f t="shared" ca="1" si="1"/>
        <v>0</v>
      </c>
      <c r="CJ98" s="77" t="b" cm="1">
        <f t="array" aca="1" ref="CJ98" ca="1">SUMPRODUCT((LEN(BY98:CH98)&gt;0)*1)&gt;0</f>
        <v>0</v>
      </c>
      <c r="CK98" s="77" t="str">
        <f t="array" aca="1" ref="CK98" ca="1">IFERROR(SMALL(IF(CI$1:CI$100&lt;&gt;0,CI$1:CI$100),ROW(A98)),"")</f>
        <v/>
      </c>
      <c r="CL98" s="77" t="str" cm="1">
        <f t="array" aca="1" ref="CL98" ca="1">IF($CK98&lt;&gt;"",
INDIRECT(""&amp;IF(COLUMN(BY98)&lt;=26,CHAR(COLUMN(BY98)+64),CHAR(INT((COLUMN(BY98)-1)/26)+64)&amp;CHAR(MOD(COLUMN(BY98)-1,26)+65))&amp;$CK98&amp;""),"")</f>
        <v/>
      </c>
      <c r="CM98" s="77" t="str" cm="1">
        <f t="array" aca="1" ref="CM98" ca="1">IF($CK98&lt;&gt;"",
INDIRECT(""&amp;IF(COLUMN(BZ98)&lt;=26,CHAR(COLUMN(BZ98)+64),CHAR(INT((COLUMN(BZ98)-1)/26)+64)&amp;CHAR(MOD(COLUMN(BZ98)-1,26)+65))&amp;$CK98&amp;""),"")</f>
        <v/>
      </c>
      <c r="CN98" s="77" t="str" cm="1">
        <f t="array" aca="1" ref="CN98" ca="1">IF($CK98&lt;&gt;"",
INDIRECT(""&amp;IF(COLUMN(CA98)&lt;=26,CHAR(COLUMN(CA98)+64),CHAR(INT((COLUMN(CA98)-1)/26)+64)&amp;CHAR(MOD(COLUMN(CA98)-1,26)+65))&amp;$CK98&amp;""),"")</f>
        <v/>
      </c>
      <c r="CO98" s="77" t="str" cm="1">
        <f t="array" aca="1" ref="CO98" ca="1">IF($CK98&lt;&gt;"",
INDIRECT(""&amp;IF(COLUMN(CB98)&lt;=26,CHAR(COLUMN(CB98)+64),CHAR(INT((COLUMN(CB98)-1)/26)+64)&amp;CHAR(MOD(COLUMN(CB98)-1,26)+65))&amp;$CK98&amp;""),"")</f>
        <v/>
      </c>
      <c r="CP98" s="77" t="str" cm="1">
        <f t="array" aca="1" ref="CP98" ca="1">IF($CK98&lt;&gt;"",
INDIRECT(""&amp;IF(COLUMN(CC98)&lt;=26,CHAR(COLUMN(CC98)+64),CHAR(INT((COLUMN(CC98)-1)/26)+64)&amp;CHAR(MOD(COLUMN(CC98)-1,26)+65))&amp;$CK98&amp;""),"")</f>
        <v/>
      </c>
      <c r="CQ98" s="77" t="str" cm="1">
        <f t="array" aca="1" ref="CQ98" ca="1">IF($CK98&lt;&gt;"",
INDIRECT(""&amp;IF(COLUMN(CD98)&lt;=26,CHAR(COLUMN(CD98)+64),CHAR(INT((COLUMN(CD98)-1)/26)+64)&amp;CHAR(MOD(COLUMN(CD98)-1,26)+65))&amp;$CK98&amp;""),"")</f>
        <v/>
      </c>
      <c r="CR98" s="77" t="str" cm="1">
        <f t="array" aca="1" ref="CR98" ca="1">IF($CK98&lt;&gt;"",
INDIRECT(""&amp;IF(COLUMN(CE98)&lt;=26,CHAR(COLUMN(CE98)+64),CHAR(INT((COLUMN(CE98)-1)/26)+64)&amp;CHAR(MOD(COLUMN(CE98)-1,26)+65))&amp;$CK98&amp;""),"")</f>
        <v/>
      </c>
      <c r="CS98" s="77" t="str" cm="1">
        <f t="array" aca="1" ref="CS98" ca="1">IF($CK98&lt;&gt;"",
INDIRECT(""&amp;IF(COLUMN(CF98)&lt;=26,CHAR(COLUMN(CF98)+64),CHAR(INT((COLUMN(CF98)-1)/26)+64)&amp;CHAR(MOD(COLUMN(CF98)-1,26)+65))&amp;$CK98&amp;""),"")</f>
        <v/>
      </c>
      <c r="CT98" s="77" t="str" cm="1">
        <f t="array" aca="1" ref="CT98" ca="1">IF($CK98&lt;&gt;"",
INDIRECT(""&amp;IF(COLUMN(CG98)&lt;=26,CHAR(COLUMN(CG98)+64),CHAR(INT((COLUMN(CG98)-1)/26)+64)&amp;CHAR(MOD(COLUMN(CG98)-1,26)+65))&amp;$CK98&amp;""),"")</f>
        <v/>
      </c>
      <c r="CU98" s="77" t="str" cm="1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x14ac:dyDescent="0.45">
      <c r="BX99" s="77"/>
      <c r="BY99" s="115" t="str">
        <f ca="1">BR1</f>
        <v/>
      </c>
      <c r="BZ99" s="115" t="str">
        <f ca="1">BR2</f>
        <v/>
      </c>
      <c r="CA99" s="115" t="str">
        <f ca="1">BT2</f>
        <v/>
      </c>
      <c r="CB99" s="116" t="str">
        <f ca="1">BU2</f>
        <v/>
      </c>
      <c r="CC99" s="115" t="str">
        <f ca="1">BR4</f>
        <v/>
      </c>
      <c r="CD99" s="115" t="str">
        <f ca="1">BT4</f>
        <v/>
      </c>
      <c r="CE99" s="115" t="str">
        <f ca="1">BR6</f>
        <v/>
      </c>
      <c r="CF99" s="115" t="str">
        <f ca="1">BQ7</f>
        <v/>
      </c>
      <c r="CG99" s="115" t="str">
        <f ca="1">BS7</f>
        <v/>
      </c>
      <c r="CH99" s="115" t="str">
        <f ca="1">BU7</f>
        <v/>
      </c>
      <c r="CI99" s="77">
        <f t="shared" ca="1" si="1"/>
        <v>0</v>
      </c>
      <c r="CJ99" s="77" t="b" cm="1">
        <f t="array" aca="1" ref="CJ99" ca="1">SUMPRODUCT((LEN(BY99:CH99)&gt;0)*1)&gt;0</f>
        <v>0</v>
      </c>
      <c r="CK99" s="77" t="str">
        <f t="array" aca="1" ref="CK99" ca="1">IFERROR(SMALL(IF(CI$1:CI$100&lt;&gt;0,CI$1:CI$100),ROW(A99)),"")</f>
        <v/>
      </c>
      <c r="CL99" s="77" t="str" cm="1">
        <f t="array" aca="1" ref="CL99" ca="1">IF($CK99&lt;&gt;"",
INDIRECT(""&amp;IF(COLUMN(BY99)&lt;=26,CHAR(COLUMN(BY99)+64),CHAR(INT((COLUMN(BY99)-1)/26)+64)&amp;CHAR(MOD(COLUMN(BY99)-1,26)+65))&amp;$CK99&amp;""),"")</f>
        <v/>
      </c>
      <c r="CM99" s="77" t="str" cm="1">
        <f t="array" aca="1" ref="CM99" ca="1">IF($CK99&lt;&gt;"",
INDIRECT(""&amp;IF(COLUMN(BZ99)&lt;=26,CHAR(COLUMN(BZ99)+64),CHAR(INT((COLUMN(BZ99)-1)/26)+64)&amp;CHAR(MOD(COLUMN(BZ99)-1,26)+65))&amp;$CK99&amp;""),"")</f>
        <v/>
      </c>
      <c r="CN99" s="77" t="str" cm="1">
        <f t="array" aca="1" ref="CN99" ca="1">IF($CK99&lt;&gt;"",
INDIRECT(""&amp;IF(COLUMN(CA99)&lt;=26,CHAR(COLUMN(CA99)+64),CHAR(INT((COLUMN(CA99)-1)/26)+64)&amp;CHAR(MOD(COLUMN(CA99)-1,26)+65))&amp;$CK99&amp;""),"")</f>
        <v/>
      </c>
      <c r="CO99" s="77" t="str" cm="1">
        <f t="array" aca="1" ref="CO99" ca="1">IF($CK99&lt;&gt;"",
INDIRECT(""&amp;IF(COLUMN(CB99)&lt;=26,CHAR(COLUMN(CB99)+64),CHAR(INT((COLUMN(CB99)-1)/26)+64)&amp;CHAR(MOD(COLUMN(CB99)-1,26)+65))&amp;$CK99&amp;""),"")</f>
        <v/>
      </c>
      <c r="CP99" s="77" t="str" cm="1">
        <f t="array" aca="1" ref="CP99" ca="1">IF($CK99&lt;&gt;"",
INDIRECT(""&amp;IF(COLUMN(CC99)&lt;=26,CHAR(COLUMN(CC99)+64),CHAR(INT((COLUMN(CC99)-1)/26)+64)&amp;CHAR(MOD(COLUMN(CC99)-1,26)+65))&amp;$CK99&amp;""),"")</f>
        <v/>
      </c>
      <c r="CQ99" s="77" t="str" cm="1">
        <f t="array" aca="1" ref="CQ99" ca="1">IF($CK99&lt;&gt;"",
INDIRECT(""&amp;IF(COLUMN(CD99)&lt;=26,CHAR(COLUMN(CD99)+64),CHAR(INT((COLUMN(CD99)-1)/26)+64)&amp;CHAR(MOD(COLUMN(CD99)-1,26)+65))&amp;$CK99&amp;""),"")</f>
        <v/>
      </c>
      <c r="CR99" s="77" t="str" cm="1">
        <f t="array" aca="1" ref="CR99" ca="1">IF($CK99&lt;&gt;"",
INDIRECT(""&amp;IF(COLUMN(CE99)&lt;=26,CHAR(COLUMN(CE99)+64),CHAR(INT((COLUMN(CE99)-1)/26)+64)&amp;CHAR(MOD(COLUMN(CE99)-1,26)+65))&amp;$CK99&amp;""),"")</f>
        <v/>
      </c>
      <c r="CS99" s="77" t="str" cm="1">
        <f t="array" aca="1" ref="CS99" ca="1">IF($CK99&lt;&gt;"",
INDIRECT(""&amp;IF(COLUMN(CF99)&lt;=26,CHAR(COLUMN(CF99)+64),CHAR(INT((COLUMN(CF99)-1)/26)+64)&amp;CHAR(MOD(COLUMN(CF99)-1,26)+65))&amp;$CK99&amp;""),"")</f>
        <v/>
      </c>
      <c r="CT99" s="77" t="str" cm="1">
        <f t="array" aca="1" ref="CT99" ca="1">IF($CK99&lt;&gt;"",
INDIRECT(""&amp;IF(COLUMN(CG99)&lt;=26,CHAR(COLUMN(CG99)+64),CHAR(INT((COLUMN(CG99)-1)/26)+64)&amp;CHAR(MOD(COLUMN(CG99)-1,26)+65))&amp;$CK99&amp;""),"")</f>
        <v/>
      </c>
      <c r="CU99" s="77" t="str" cm="1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x14ac:dyDescent="0.45">
      <c r="BX100" s="77">
        <v>42</v>
      </c>
      <c r="BY100" s="77" t="str" cm="1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77" t="str" cm="1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77" t="str" cm="1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77" t="str" cm="1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77" t="str" cm="1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77" t="str" cm="1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77" t="str" cm="1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77" t="str" cm="1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77" t="str" cm="1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77" t="str" cm="1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77">
        <f t="shared" ca="1" si="1"/>
        <v>0</v>
      </c>
      <c r="CJ100" s="77" t="b" cm="1">
        <f t="array" aca="1" ref="CJ100" ca="1">SUMPRODUCT((LEN(BY100:CH100)&gt;0)*1)&gt;0</f>
        <v>0</v>
      </c>
      <c r="CK100" s="77" t="str">
        <f t="array" aca="1" ref="CK100" ca="1">IFERROR(SMALL(IF(CI$1:CI$100&lt;&gt;0,CI$1:CI$100),ROW(A100)),"")</f>
        <v/>
      </c>
      <c r="CL100" s="77" t="str" cm="1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77" t="str" cm="1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77" t="str" cm="1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77" t="str" cm="1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77" t="str" cm="1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77" t="str" cm="1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77" t="str" cm="1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77" t="str" cm="1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77" t="str" cm="1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77" t="str" cm="1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x14ac:dyDescent="0.45">
      <c r="BX101">
        <v>7</v>
      </c>
      <c r="BY101" s="77" t="str" cm="1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77" t="str" cm="1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77" t="str" cm="1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77" t="str" cm="1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77" t="str" cm="1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77" t="str" cm="1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77" t="str" cm="1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77" t="str" cm="1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77" t="str" cm="1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77" t="str" cm="1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77">
        <f t="shared" ca="1" si="1"/>
        <v>0</v>
      </c>
      <c r="CJ101" s="77" t="b" cm="1">
        <f t="array" aca="1" ref="CJ101" ca="1">SUMPRODUCT((LEN(BY101:CH101)&gt;0)*1)&gt;0</f>
        <v>0</v>
      </c>
      <c r="CK101" s="77" t="str">
        <f t="array" aca="1" ref="CK101" ca="1">IFERROR(SMALL(IF(CI$1:CI$100&lt;&gt;0,CI$1:CI$100),ROW(A101)),"")</f>
        <v/>
      </c>
      <c r="CL101" s="77" t="str" cm="1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77" t="str" cm="1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77" t="str" cm="1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77" t="str" cm="1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77" t="str" cm="1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77" t="str" cm="1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77" t="str" cm="1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77" t="str" cm="1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77" t="str" cm="1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77" t="str" cm="1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x14ac:dyDescent="0.45">
      <c r="BX102" s="77">
        <f>BX98+7</f>
        <v>49</v>
      </c>
      <c r="BY102" s="77" t="str" cm="1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77" t="str" cm="1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77" t="str" cm="1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77" t="str" cm="1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77" t="str" cm="1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77" t="str" cm="1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77" t="str" cm="1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77" t="str" cm="1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77" t="str" cm="1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77" t="str" cm="1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77">
        <f t="shared" ca="1" si="1"/>
        <v>0</v>
      </c>
      <c r="CJ102" s="77" t="b" cm="1">
        <f t="array" aca="1" ref="CJ102" ca="1">SUMPRODUCT((LEN(BY102:CH102)&gt;0)*1)&gt;0</f>
        <v>0</v>
      </c>
      <c r="CK102" s="77" t="str">
        <f t="array" aca="1" ref="CK102" ca="1">IFERROR(SMALL(IF(CI$1:CI$100&lt;&gt;0,CI$1:CI$100),ROW(A102)),"")</f>
        <v/>
      </c>
      <c r="CL102" s="77" t="str" cm="1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77" t="str" cm="1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77" t="str" cm="1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77" t="str" cm="1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77" t="str" cm="1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77" t="str" cm="1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77" t="str" cm="1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77" t="str" cm="1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77" t="str" cm="1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77" t="str" cm="1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x14ac:dyDescent="0.45">
      <c r="BX103" s="77">
        <v>7</v>
      </c>
      <c r="BY103" s="77" t="str" cm="1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77" t="str" cm="1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77" t="str" cm="1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77" t="str" cm="1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77" t="str" cm="1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77" t="str" cm="1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77" t="str" cm="1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77" t="str" cm="1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77" t="str" cm="1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77" t="str" cm="1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77">
        <f t="shared" ca="1" si="1"/>
        <v>0</v>
      </c>
      <c r="CJ103" s="77" t="b" cm="1">
        <f t="array" aca="1" ref="CJ103" ca="1">SUMPRODUCT((LEN(BY103:CH103)&gt;0)*1)&gt;0</f>
        <v>0</v>
      </c>
      <c r="CK103" s="77" t="str">
        <f t="array" aca="1" ref="CK103" ca="1">IFERROR(SMALL(IF(CI$1:CI$100&lt;&gt;0,CI$1:CI$100),ROW(A103)),"")</f>
        <v/>
      </c>
      <c r="CL103" s="77" t="str" cm="1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77" t="str" cm="1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77" t="str" cm="1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77" t="str" cm="1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77" t="str" cm="1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77" t="str" cm="1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77" t="str" cm="1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77" t="str" cm="1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77" t="str" cm="1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77" t="str" cm="1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x14ac:dyDescent="0.45">
      <c r="BX104" s="77">
        <f>BX100+7</f>
        <v>49</v>
      </c>
      <c r="BY104" s="77" t="str" cm="1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77" t="str" cm="1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77" t="str" cm="1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77" t="str" cm="1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77" t="str" cm="1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77" t="str" cm="1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77" t="str" cm="1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77" t="str" cm="1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77" t="str" cm="1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77" t="str" cm="1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77">
        <f t="shared" ca="1" si="1"/>
        <v>0</v>
      </c>
      <c r="CJ104" s="77" t="b" cm="1">
        <f t="array" aca="1" ref="CJ104" ca="1">SUMPRODUCT((LEN(BY104:CH104)&gt;0)*1)&gt;0</f>
        <v>0</v>
      </c>
      <c r="CK104" s="77" t="str">
        <f t="array" aca="1" ref="CK104" ca="1">IFERROR(SMALL(IF(CI$1:CI$100&lt;&gt;0,CI$1:CI$100),ROW(A104)),"")</f>
        <v/>
      </c>
      <c r="CL104" s="77" t="str" cm="1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77" t="str" cm="1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77" t="str" cm="1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77" t="str" cm="1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77" t="str" cm="1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77" t="str" cm="1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77" t="str" cm="1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77" t="str" cm="1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77" t="str" cm="1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77" t="str" cm="1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x14ac:dyDescent="0.45">
      <c r="BX105" s="77">
        <f>BX101+7</f>
        <v>14</v>
      </c>
      <c r="BY105" s="77" t="str" cm="1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77" t="str" cm="1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77" t="str" cm="1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77" t="str" cm="1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77" t="str" cm="1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77" t="str" cm="1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77" t="str" cm="1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77" t="str" cm="1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77" t="str" cm="1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77" t="str" cm="1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77">
        <f t="shared" ca="1" si="1"/>
        <v>0</v>
      </c>
      <c r="CJ105" s="77" t="b" cm="1">
        <f t="array" aca="1" ref="CJ105" ca="1">SUMPRODUCT((LEN(BY105:CH105)&gt;0)*1)&gt;0</f>
        <v>0</v>
      </c>
      <c r="CK105" s="77" t="str">
        <f t="array" aca="1" ref="CK105" ca="1">IFERROR(SMALL(IF(CI$1:CI$100&lt;&gt;0,CI$1:CI$100),ROW(A105)),"")</f>
        <v/>
      </c>
      <c r="CL105" s="77" t="str" cm="1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77" t="str" cm="1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77" t="str" cm="1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77" t="str" cm="1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77" t="str" cm="1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77" t="str" cm="1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77" t="str" cm="1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77" t="str" cm="1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77" t="str" cm="1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77" t="str" cm="1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x14ac:dyDescent="0.45">
      <c r="BX106" s="77">
        <f>BX102+7</f>
        <v>56</v>
      </c>
      <c r="BY106" s="77" t="str" cm="1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77" t="str" cm="1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77" t="str" cm="1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77" t="str" cm="1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77" t="str" cm="1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77" t="str" cm="1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77" t="str" cm="1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77" t="str" cm="1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77" t="str" cm="1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77" t="str" cm="1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77">
        <f t="shared" ca="1" si="1"/>
        <v>0</v>
      </c>
      <c r="CJ106" s="77" t="b" cm="1">
        <f t="array" aca="1" ref="CJ106" ca="1">SUMPRODUCT((LEN(BY106:CH106)&gt;0)*1)&gt;0</f>
        <v>0</v>
      </c>
      <c r="CK106" s="77" t="str">
        <f t="array" aca="1" ref="CK106" ca="1">IFERROR(SMALL(IF(CI$1:CI$100&lt;&gt;0,CI$1:CI$100),ROW(A106)),"")</f>
        <v/>
      </c>
      <c r="CL106" s="77" t="str" cm="1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77" t="str" cm="1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77" t="str" cm="1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77" t="str" cm="1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77" t="str" cm="1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77" t="str" cm="1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77" t="str" cm="1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77" t="str" cm="1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77" t="str" cm="1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77" t="str" cm="1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x14ac:dyDescent="0.45">
      <c r="BX107">
        <f>BX103+7</f>
        <v>14</v>
      </c>
      <c r="BY107" s="77" t="str" cm="1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77" t="str" cm="1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77" t="str" cm="1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77" t="str" cm="1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77" t="str" cm="1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77" t="str" cm="1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77" t="str" cm="1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77" t="str" cm="1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77" t="str" cm="1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77" t="str" cm="1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77">
        <f t="shared" ca="1" si="1"/>
        <v>0</v>
      </c>
      <c r="CJ107" s="77" t="b" cm="1">
        <f t="array" aca="1" ref="CJ107" ca="1">SUMPRODUCT((LEN(BY107:CH107)&gt;0)*1)&gt;0</f>
        <v>0</v>
      </c>
      <c r="CK107" s="77" t="str">
        <f t="array" aca="1" ref="CK107" ca="1">IFERROR(SMALL(IF(CI$1:CI$100&lt;&gt;0,CI$1:CI$100),ROW(A107)),"")</f>
        <v/>
      </c>
      <c r="CL107" s="77" t="str" cm="1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77" t="str" cm="1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77" t="str" cm="1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77" t="str" cm="1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77" t="str" cm="1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77" t="str" cm="1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77" t="str" cm="1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77" t="str" cm="1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77" t="str" cm="1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77" t="str" cm="1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x14ac:dyDescent="0.45">
      <c r="BX108" s="77">
        <f>BX104+7</f>
        <v>56</v>
      </c>
      <c r="BY108" s="77" t="str" cm="1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77" t="str" cm="1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77" t="str" cm="1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77" t="str" cm="1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77" t="str" cm="1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77" t="str" cm="1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77" t="str" cm="1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77" t="str" cm="1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77" t="str" cm="1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77" t="str" cm="1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77">
        <f t="shared" ca="1" si="1"/>
        <v>0</v>
      </c>
      <c r="CJ108" s="77" t="b" cm="1">
        <f t="array" aca="1" ref="CJ108" ca="1">SUMPRODUCT((LEN(BY108:CH108)&gt;0)*1)&gt;0</f>
        <v>0</v>
      </c>
      <c r="CK108" s="77" t="str">
        <f t="array" aca="1" ref="CK108" ca="1">IFERROR(SMALL(IF(CI$1:CI$100&lt;&gt;0,CI$1:CI$100),ROW(A108)),"")</f>
        <v/>
      </c>
      <c r="CL108" s="77" t="str" cm="1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77" t="str" cm="1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77" t="str" cm="1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77" t="str" cm="1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77" t="str" cm="1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77" t="str" cm="1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77" t="str" cm="1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77" t="str" cm="1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77" t="str" cm="1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77" t="str" cm="1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x14ac:dyDescent="0.45">
      <c r="BX109" s="77">
        <f>BX105+7</f>
        <v>21</v>
      </c>
      <c r="BY109" s="77" t="str" cm="1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77" t="str" cm="1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77" t="str" cm="1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77" t="str" cm="1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77" t="str" cm="1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77" t="str" cm="1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77" t="str" cm="1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77" t="str" cm="1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77" t="str" cm="1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77" t="str" cm="1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77">
        <f t="shared" ca="1" si="1"/>
        <v>0</v>
      </c>
      <c r="CJ109" s="77" t="b" cm="1">
        <f t="array" aca="1" ref="CJ109" ca="1">SUMPRODUCT((LEN(BY109:CH109)&gt;0)*1)&gt;0</f>
        <v>0</v>
      </c>
      <c r="CK109" s="77" t="str">
        <f t="array" aca="1" ref="CK109" ca="1">IFERROR(SMALL(IF(CI$1:CI$100&lt;&gt;0,CI$1:CI$100),ROW(A109)),"")</f>
        <v/>
      </c>
      <c r="CL109" s="77" t="str" cm="1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77" t="str" cm="1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77" t="str" cm="1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77" t="str" cm="1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77" t="str" cm="1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77" t="str" cm="1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77" t="str" cm="1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77" t="str" cm="1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77" t="str" cm="1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77" t="str" cm="1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x14ac:dyDescent="0.45">
      <c r="BX110" s="77">
        <f>BX106+7</f>
        <v>63</v>
      </c>
      <c r="BY110" s="77" t="str" cm="1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77" t="str" cm="1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77" t="str" cm="1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77" t="str" cm="1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77" t="str" cm="1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77" t="str" cm="1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77" t="str" cm="1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77" t="str" cm="1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77" t="str" cm="1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77" t="str" cm="1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77">
        <f t="shared" ca="1" si="1"/>
        <v>0</v>
      </c>
      <c r="CJ110" s="77" t="b" cm="1">
        <f t="array" aca="1" ref="CJ110" ca="1">SUMPRODUCT((LEN(BY110:CH110)&gt;0)*1)&gt;0</f>
        <v>0</v>
      </c>
      <c r="CK110" s="77" t="str">
        <f t="array" aca="1" ref="CK110" ca="1">IFERROR(SMALL(IF(CI$1:CI$100&lt;&gt;0,CI$1:CI$100),ROW(A110)),"")</f>
        <v/>
      </c>
      <c r="CL110" s="77" t="str" cm="1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77" t="str" cm="1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77" t="str" cm="1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77" t="str" cm="1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77" t="str" cm="1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77" t="str" cm="1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77" t="str" cm="1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77" t="str" cm="1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77" t="str" cm="1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77" t="str" cm="1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x14ac:dyDescent="0.45">
      <c r="BX111">
        <f>BX107+7</f>
        <v>21</v>
      </c>
      <c r="BY111" s="77" t="str" cm="1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77" t="str" cm="1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77" t="str" cm="1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77" t="str" cm="1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77" t="str" cm="1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77" t="str" cm="1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77" t="str" cm="1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77" t="str" cm="1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77" t="str" cm="1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77" t="str" cm="1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77">
        <f t="shared" ca="1" si="1"/>
        <v>0</v>
      </c>
      <c r="CJ111" s="77" t="b" cm="1">
        <f t="array" aca="1" ref="CJ111" ca="1">SUMPRODUCT((LEN(BY111:CH111)&gt;0)*1)&gt;0</f>
        <v>0</v>
      </c>
      <c r="CK111" s="77" t="str">
        <f t="array" aca="1" ref="CK111" ca="1">IFERROR(SMALL(IF(CI$1:CI$100&lt;&gt;0,CI$1:CI$100),ROW(A111)),"")</f>
        <v/>
      </c>
      <c r="CL111" s="77" t="str" cm="1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77" t="str" cm="1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77" t="str" cm="1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77" t="str" cm="1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77" t="str" cm="1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77" t="str" cm="1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77" t="str" cm="1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77" t="str" cm="1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77" t="str" cm="1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77" t="str" cm="1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x14ac:dyDescent="0.45">
      <c r="BX112" s="77">
        <f>BX108+7</f>
        <v>63</v>
      </c>
      <c r="BY112" s="77" t="str" cm="1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77" t="str" cm="1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77" t="str" cm="1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77" t="str" cm="1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77" t="str" cm="1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77" t="str" cm="1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77" t="str" cm="1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77" t="str" cm="1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77" t="str" cm="1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77" t="str" cm="1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77">
        <f t="shared" ca="1" si="1"/>
        <v>0</v>
      </c>
      <c r="CJ112" s="77" t="b" cm="1">
        <f t="array" aca="1" ref="CJ112" ca="1">SUMPRODUCT((LEN(BY112:CH112)&gt;0)*1)&gt;0</f>
        <v>0</v>
      </c>
      <c r="CK112" s="77" t="str">
        <f t="array" aca="1" ref="CK112" ca="1">IFERROR(SMALL(IF(CI$1:CI$100&lt;&gt;0,CI$1:CI$100),ROW(A112)),"")</f>
        <v/>
      </c>
      <c r="CL112" s="77" t="str" cm="1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77" t="str" cm="1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77" t="str" cm="1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77" t="str" cm="1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77" t="str" cm="1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77" t="str" cm="1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77" t="str" cm="1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77" t="str" cm="1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77" t="str" cm="1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77" t="str" cm="1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x14ac:dyDescent="0.45">
      <c r="BX113" s="77">
        <f>BX109+7</f>
        <v>28</v>
      </c>
      <c r="BY113" s="77" t="str" cm="1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77" t="str" cm="1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77" t="str" cm="1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77" t="str" cm="1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77" t="str" cm="1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77" t="str" cm="1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77" t="str" cm="1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77" t="str" cm="1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77" t="str" cm="1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77" t="str" cm="1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77">
        <f t="shared" ca="1" si="1"/>
        <v>0</v>
      </c>
      <c r="CJ113" s="77" t="b" cm="1">
        <f t="array" aca="1" ref="CJ113" ca="1">SUMPRODUCT((LEN(BY113:CH113)&gt;0)*1)&gt;0</f>
        <v>0</v>
      </c>
      <c r="CK113" s="77" t="str">
        <f t="array" aca="1" ref="CK113" ca="1">IFERROR(SMALL(IF(CI$1:CI$100&lt;&gt;0,CI$1:CI$100),ROW(A113)),"")</f>
        <v/>
      </c>
      <c r="CL113" s="77" t="str" cm="1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77" t="str" cm="1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77" t="str" cm="1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77" t="str" cm="1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77" t="str" cm="1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77" t="str" cm="1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77" t="str" cm="1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77" t="str" cm="1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77" t="str" cm="1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77" t="str" cm="1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x14ac:dyDescent="0.45">
      <c r="BX114" s="77">
        <f>BX110+7</f>
        <v>70</v>
      </c>
      <c r="BY114" s="77" t="str" cm="1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77" t="str" cm="1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77" t="str" cm="1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77" t="str" cm="1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77" t="str" cm="1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77" t="str" cm="1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77" t="str" cm="1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77" t="str" cm="1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77" t="str" cm="1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77" t="str" cm="1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77">
        <f t="shared" ca="1" si="1"/>
        <v>0</v>
      </c>
      <c r="CJ114" s="77" t="b" cm="1">
        <f t="array" aca="1" ref="CJ114" ca="1">SUMPRODUCT((LEN(BY114:CH114)&gt;0)*1)&gt;0</f>
        <v>0</v>
      </c>
      <c r="CK114" s="77" t="str">
        <f t="array" aca="1" ref="CK114" ca="1">IFERROR(SMALL(IF(CI$1:CI$100&lt;&gt;0,CI$1:CI$100),ROW(A114)),"")</f>
        <v/>
      </c>
      <c r="CL114" s="77" t="str" cm="1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77" t="str" cm="1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77" t="str" cm="1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77" t="str" cm="1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77" t="str" cm="1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77" t="str" cm="1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77" t="str" cm="1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77" t="str" cm="1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77" t="str" cm="1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77" t="str" cm="1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x14ac:dyDescent="0.45">
      <c r="BX115">
        <f>BX111+7</f>
        <v>28</v>
      </c>
      <c r="BY115" s="77" t="str" cm="1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77" t="str" cm="1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77" t="str" cm="1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77" t="str" cm="1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77" t="str" cm="1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77" t="str" cm="1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77" t="str" cm="1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77" t="str" cm="1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77" t="str" cm="1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77" t="str" cm="1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77">
        <f t="shared" ca="1" si="1"/>
        <v>0</v>
      </c>
      <c r="CJ115" s="77" t="b" cm="1">
        <f t="array" aca="1" ref="CJ115" ca="1">SUMPRODUCT((LEN(BY115:CH115)&gt;0)*1)&gt;0</f>
        <v>0</v>
      </c>
      <c r="CK115" s="77" t="str">
        <f t="array" aca="1" ref="CK115" ca="1">IFERROR(SMALL(IF(CI$1:CI$100&lt;&gt;0,CI$1:CI$100),ROW(A115)),"")</f>
        <v/>
      </c>
      <c r="CL115" s="77" t="str" cm="1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77" t="str" cm="1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77" t="str" cm="1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77" t="str" cm="1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77" t="str" cm="1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77" t="str" cm="1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77" t="str" cm="1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77" t="str" cm="1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77" t="str" cm="1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77" t="str" cm="1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x14ac:dyDescent="0.45">
      <c r="BX116" s="77">
        <f>BX112+7</f>
        <v>70</v>
      </c>
      <c r="BY116" s="77" t="str" cm="1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77" t="str" cm="1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77" t="str" cm="1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77" t="str" cm="1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77" t="str" cm="1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77" t="str" cm="1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77" t="str" cm="1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77" t="str" cm="1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77" t="str" cm="1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77" t="str" cm="1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77">
        <f t="shared" ca="1" si="1"/>
        <v>0</v>
      </c>
      <c r="CJ116" s="77" t="b" cm="1">
        <f t="array" aca="1" ref="CJ116" ca="1">SUMPRODUCT((LEN(BY116:CH116)&gt;0)*1)&gt;0</f>
        <v>0</v>
      </c>
      <c r="CK116" s="77" t="str">
        <f t="array" aca="1" ref="CK116" ca="1">IFERROR(SMALL(IF(CI$1:CI$100&lt;&gt;0,CI$1:CI$100),ROW(A116)),"")</f>
        <v/>
      </c>
      <c r="CL116" s="77" t="str" cm="1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77" t="str" cm="1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77" t="str" cm="1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77" t="str" cm="1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77" t="str" cm="1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77" t="str" cm="1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77" t="str" cm="1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77" t="str" cm="1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77" t="str" cm="1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77" t="str" cm="1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x14ac:dyDescent="0.45">
      <c r="BX117" s="77">
        <f>BX113+7</f>
        <v>35</v>
      </c>
      <c r="BY117" s="77" t="str" cm="1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77" t="str" cm="1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77" t="str" cm="1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77" t="str" cm="1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77" t="str" cm="1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77" t="str" cm="1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77" t="str" cm="1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77" t="str" cm="1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77" t="str" cm="1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77" t="str" cm="1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77">
        <f t="shared" ca="1" si="1"/>
        <v>0</v>
      </c>
      <c r="CJ117" s="77" t="b" cm="1">
        <f t="array" aca="1" ref="CJ117" ca="1">SUMPRODUCT((LEN(BY117:CH117)&gt;0)*1)&gt;0</f>
        <v>0</v>
      </c>
      <c r="CK117" s="77" t="str">
        <f t="array" aca="1" ref="CK117" ca="1">IFERROR(SMALL(IF(CI$1:CI$100&lt;&gt;0,CI$1:CI$100),ROW(A117)),"")</f>
        <v/>
      </c>
      <c r="CL117" s="77" t="str" cm="1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77" t="str" cm="1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77" t="str" cm="1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77" t="str" cm="1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77" t="str" cm="1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77" t="str" cm="1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77" t="str" cm="1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77" t="str" cm="1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77" t="str" cm="1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77" t="str" cm="1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x14ac:dyDescent="0.45">
      <c r="BX118" s="77">
        <f>BX114+7</f>
        <v>77</v>
      </c>
      <c r="BY118" s="77" t="str" cm="1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77" t="str" cm="1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77" t="str" cm="1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77" t="str" cm="1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77" t="str" cm="1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77" t="str" cm="1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77" t="str" cm="1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77" t="str" cm="1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77" t="str" cm="1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77" t="str" cm="1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77">
        <f t="shared" ca="1" si="1"/>
        <v>0</v>
      </c>
      <c r="CJ118" s="77" t="b" cm="1">
        <f t="array" aca="1" ref="CJ118" ca="1">SUMPRODUCT((LEN(BY118:CH118)&gt;0)*1)&gt;0</f>
        <v>0</v>
      </c>
      <c r="CK118" s="77" t="str">
        <f t="array" aca="1" ref="CK118" ca="1">IFERROR(SMALL(IF(CI$1:CI$100&lt;&gt;0,CI$1:CI$100),ROW(A118)),"")</f>
        <v/>
      </c>
      <c r="CL118" s="77" t="str" cm="1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77" t="str" cm="1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77" t="str" cm="1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77" t="str" cm="1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77" t="str" cm="1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77" t="str" cm="1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77" t="str" cm="1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77" t="str" cm="1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77" t="str" cm="1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77" t="str" cm="1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x14ac:dyDescent="0.45">
      <c r="BX119">
        <f>BX115+7</f>
        <v>35</v>
      </c>
      <c r="BY119" s="77" t="str" cm="1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77" t="str" cm="1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77" t="str" cm="1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77" t="str" cm="1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77" t="str" cm="1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77" t="str" cm="1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77" t="str" cm="1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77" t="str" cm="1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77" t="str" cm="1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77" t="str" cm="1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77">
        <f t="shared" ca="1" si="1"/>
        <v>0</v>
      </c>
      <c r="CJ119" s="77" t="b" cm="1">
        <f t="array" aca="1" ref="CJ119" ca="1">SUMPRODUCT((LEN(BY119:CH119)&gt;0)*1)&gt;0</f>
        <v>0</v>
      </c>
      <c r="CK119" s="77" t="str">
        <f t="array" aca="1" ref="CK119" ca="1">IFERROR(SMALL(IF(CI$1:CI$100&lt;&gt;0,CI$1:CI$100),ROW(A119)),"")</f>
        <v/>
      </c>
      <c r="CL119" s="77" t="str" cm="1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77" t="str" cm="1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77" t="str" cm="1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77" t="str" cm="1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77" t="str" cm="1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77" t="str" cm="1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77" t="str" cm="1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77" t="str" cm="1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77" t="str" cm="1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77" t="str" cm="1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x14ac:dyDescent="0.45">
      <c r="BX120" s="77">
        <f>BX116+7</f>
        <v>77</v>
      </c>
      <c r="BY120" s="77" t="str" cm="1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77" t="str" cm="1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77" t="str" cm="1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77" t="str" cm="1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77" t="str" cm="1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77" t="str" cm="1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77" t="str" cm="1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77" t="str" cm="1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77" t="str" cm="1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77" t="str" cm="1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77">
        <f t="shared" ca="1" si="1"/>
        <v>0</v>
      </c>
      <c r="CJ120" s="77" t="b" cm="1">
        <f t="array" aca="1" ref="CJ120" ca="1">SUMPRODUCT((LEN(BY120:CH120)&gt;0)*1)&gt;0</f>
        <v>0</v>
      </c>
      <c r="CK120" s="77" t="str">
        <f t="array" aca="1" ref="CK120" ca="1">IFERROR(SMALL(IF(CI$1:CI$100&lt;&gt;0,CI$1:CI$100),ROW(A120)),"")</f>
        <v/>
      </c>
      <c r="CL120" s="77" t="str" cm="1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77" t="str" cm="1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77" t="str" cm="1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77" t="str" cm="1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77" t="str" cm="1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77" t="str" cm="1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77" t="str" cm="1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77" t="str" cm="1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77" t="str" cm="1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77" t="str" cm="1">
        <f t="array" aca="1" ref="CU120" ca="1">IF($CK120&lt;&gt;"",
INDIRECT(""&amp;IF(COLUMN(CH120)&lt;=26,CHAR(COLUMN(CH120)+64),CHAR(INT((COLUMN(CH120)-1)/26)+64)&amp;CHAR(MOD(COLUMN(CH120)-1,26)+65))&amp;$CK120&amp;""),"")</f>
        <v/>
      </c>
    </row>
  </sheetData>
  <mergeCells count="960">
    <mergeCell ref="AF84:AG84"/>
    <mergeCell ref="AH84:AI84"/>
    <mergeCell ref="AO84:AP84"/>
    <mergeCell ref="Y3:Z3"/>
    <mergeCell ref="D63:E63"/>
    <mergeCell ref="J60:K61"/>
    <mergeCell ref="BS49:BT49"/>
    <mergeCell ref="F63:G63"/>
    <mergeCell ref="AX31:AY31"/>
    <mergeCell ref="BM3:BN3"/>
    <mergeCell ref="BU84:BV84"/>
    <mergeCell ref="AA80:AB80"/>
    <mergeCell ref="R32:S33"/>
    <mergeCell ref="BM25:BN26"/>
    <mergeCell ref="BK15:BN15"/>
    <mergeCell ref="Y43:AB43"/>
    <mergeCell ref="AP52:AQ52"/>
    <mergeCell ref="AM56:AN56"/>
    <mergeCell ref="BR18:BS19"/>
    <mergeCell ref="BC71:BF71"/>
    <mergeCell ref="BB84:BC84"/>
    <mergeCell ref="BD21:BE21"/>
    <mergeCell ref="BB21:BC21"/>
    <mergeCell ref="Y45:Z45"/>
    <mergeCell ref="Y67:Z68"/>
    <mergeCell ref="BT67:BU68"/>
    <mergeCell ref="BT11:BU12"/>
    <mergeCell ref="BR31:BS31"/>
    <mergeCell ref="BR81:BS82"/>
    <mergeCell ref="AO70:AP70"/>
    <mergeCell ref="AV3:AW3"/>
    <mergeCell ref="BU21:BV21"/>
    <mergeCell ref="BT81:BU82"/>
    <mergeCell ref="Y36:AB36"/>
    <mergeCell ref="AQ7:AR7"/>
    <mergeCell ref="L53:M54"/>
    <mergeCell ref="S7:T7"/>
    <mergeCell ref="AP67:AQ68"/>
    <mergeCell ref="AB42:AC42"/>
    <mergeCell ref="BK22:BN22"/>
    <mergeCell ref="Y50:AB50"/>
    <mergeCell ref="BT45:BU45"/>
    <mergeCell ref="AO14:AP14"/>
    <mergeCell ref="BQ49:BR49"/>
    <mergeCell ref="BM80:BN80"/>
    <mergeCell ref="D7:E7"/>
    <mergeCell ref="BM24:BN24"/>
    <mergeCell ref="D70:E70"/>
    <mergeCell ref="AF14:AG14"/>
    <mergeCell ref="C78:F78"/>
    <mergeCell ref="X14:Y14"/>
    <mergeCell ref="B70:C70"/>
    <mergeCell ref="BK36:BN36"/>
    <mergeCell ref="F21:G21"/>
    <mergeCell ref="AG46:AH47"/>
    <mergeCell ref="AW77:AX77"/>
    <mergeCell ref="R73:S73"/>
    <mergeCell ref="AY77:AZ77"/>
    <mergeCell ref="T73:U73"/>
    <mergeCell ref="AA32:AB33"/>
    <mergeCell ref="C32:D33"/>
    <mergeCell ref="R17:S17"/>
    <mergeCell ref="BM10:BN10"/>
    <mergeCell ref="AG67:AH68"/>
    <mergeCell ref="L46:M47"/>
    <mergeCell ref="T31:U31"/>
    <mergeCell ref="R29:U29"/>
    <mergeCell ref="BC74:BD75"/>
    <mergeCell ref="C46:D47"/>
    <mergeCell ref="J4:K5"/>
    <mergeCell ref="C1:F1"/>
    <mergeCell ref="BK52:BL52"/>
    <mergeCell ref="BF56:BG56"/>
    <mergeCell ref="R71:U71"/>
    <mergeCell ref="BK45:BL45"/>
    <mergeCell ref="C18:D19"/>
    <mergeCell ref="BJ70:BK70"/>
    <mergeCell ref="AH63:AI63"/>
    <mergeCell ref="E18:F19"/>
    <mergeCell ref="BK67:BL68"/>
    <mergeCell ref="AA10:AB10"/>
    <mergeCell ref="BC17:BD17"/>
    <mergeCell ref="BE17:BF17"/>
    <mergeCell ref="BJ14:BK14"/>
    <mergeCell ref="Y22:AB22"/>
    <mergeCell ref="C3:D3"/>
    <mergeCell ref="BE39:BF40"/>
    <mergeCell ref="BC29:BF29"/>
    <mergeCell ref="E3:F3"/>
    <mergeCell ref="AH42:AI42"/>
    <mergeCell ref="AJ42:AK42"/>
    <mergeCell ref="U70:V70"/>
    <mergeCell ref="E25:F26"/>
    <mergeCell ref="BR78:BU78"/>
    <mergeCell ref="AV73:AW73"/>
    <mergeCell ref="AX60:AY61"/>
    <mergeCell ref="BS35:BT35"/>
    <mergeCell ref="U7:V7"/>
    <mergeCell ref="BQ28:BR28"/>
    <mergeCell ref="S77:T77"/>
    <mergeCell ref="BM17:BN17"/>
    <mergeCell ref="AG4:AH5"/>
    <mergeCell ref="Y4:Z5"/>
    <mergeCell ref="AQ21:AR21"/>
    <mergeCell ref="BT46:BU47"/>
    <mergeCell ref="AG15:AJ15"/>
    <mergeCell ref="Z14:AA14"/>
    <mergeCell ref="BR43:BU43"/>
    <mergeCell ref="BF7:BG7"/>
    <mergeCell ref="BC10:BD10"/>
    <mergeCell ref="BS21:BT21"/>
    <mergeCell ref="M7:N7"/>
    <mergeCell ref="BS28:BT28"/>
    <mergeCell ref="F42:G42"/>
    <mergeCell ref="J10:K10"/>
    <mergeCell ref="AX46:AY47"/>
    <mergeCell ref="AP81:AQ82"/>
    <mergeCell ref="Q14:R14"/>
    <mergeCell ref="AP11:AQ12"/>
    <mergeCell ref="L60:M61"/>
    <mergeCell ref="AP74:AQ75"/>
    <mergeCell ref="S14:T14"/>
    <mergeCell ref="AU49:AV49"/>
    <mergeCell ref="AM49:AN49"/>
    <mergeCell ref="Y57:AB57"/>
    <mergeCell ref="AW49:AX49"/>
    <mergeCell ref="AO49:AP49"/>
    <mergeCell ref="BQ56:BR56"/>
    <mergeCell ref="R39:S40"/>
    <mergeCell ref="J39:K40"/>
    <mergeCell ref="BR53:BS54"/>
    <mergeCell ref="BF35:BG35"/>
    <mergeCell ref="BR32:BS33"/>
    <mergeCell ref="AJ77:AK77"/>
    <mergeCell ref="I49:J49"/>
    <mergeCell ref="T81:U82"/>
    <mergeCell ref="I70:J70"/>
    <mergeCell ref="B14:C14"/>
    <mergeCell ref="AF28:AG28"/>
    <mergeCell ref="Y74:Z75"/>
    <mergeCell ref="D14:E14"/>
    <mergeCell ref="AY7:AZ7"/>
    <mergeCell ref="BK50:BN50"/>
    <mergeCell ref="T53:U54"/>
    <mergeCell ref="AB56:AC56"/>
    <mergeCell ref="J74:K75"/>
    <mergeCell ref="Y59:Z59"/>
    <mergeCell ref="BK57:BN57"/>
    <mergeCell ref="AA73:AB73"/>
    <mergeCell ref="BK74:BL75"/>
    <mergeCell ref="AA17:AB17"/>
    <mergeCell ref="AX67:AY68"/>
    <mergeCell ref="BC24:BD24"/>
    <mergeCell ref="X21:Y21"/>
    <mergeCell ref="K49:L49"/>
    <mergeCell ref="Y29:AB29"/>
    <mergeCell ref="BK18:BL19"/>
    <mergeCell ref="BN56:BO56"/>
    <mergeCell ref="T52:U52"/>
    <mergeCell ref="L3:M3"/>
    <mergeCell ref="AG1:AJ1"/>
    <mergeCell ref="BJ84:BK84"/>
    <mergeCell ref="U77:V77"/>
    <mergeCell ref="J43:M43"/>
    <mergeCell ref="E32:F33"/>
    <mergeCell ref="R80:S80"/>
    <mergeCell ref="BR38:BS38"/>
    <mergeCell ref="BE31:BF31"/>
    <mergeCell ref="K28:L28"/>
    <mergeCell ref="M28:N28"/>
    <mergeCell ref="BM39:BN40"/>
    <mergeCell ref="AP66:AQ66"/>
    <mergeCell ref="L52:M52"/>
    <mergeCell ref="AM70:AN70"/>
    <mergeCell ref="I56:J56"/>
    <mergeCell ref="AN78:AQ78"/>
    <mergeCell ref="BR46:BS47"/>
    <mergeCell ref="L45:M45"/>
    <mergeCell ref="BF49:BG49"/>
    <mergeCell ref="AQ84:AR84"/>
    <mergeCell ref="AA39:AB40"/>
    <mergeCell ref="L67:M68"/>
    <mergeCell ref="AN81:AO82"/>
    <mergeCell ref="AG74:AH75"/>
    <mergeCell ref="E17:F17"/>
    <mergeCell ref="AN1:AQ1"/>
    <mergeCell ref="AO28:AP28"/>
    <mergeCell ref="BQ35:BR35"/>
    <mergeCell ref="AQ28:AR28"/>
    <mergeCell ref="BQ63:BR63"/>
    <mergeCell ref="L11:M12"/>
    <mergeCell ref="BS63:BT63"/>
    <mergeCell ref="AN18:AO19"/>
    <mergeCell ref="L74:M75"/>
    <mergeCell ref="AG43:AJ43"/>
    <mergeCell ref="AP18:AQ19"/>
    <mergeCell ref="BK4:BL5"/>
    <mergeCell ref="AX52:AY52"/>
    <mergeCell ref="S49:T49"/>
    <mergeCell ref="AU56:AV56"/>
    <mergeCell ref="BK1:BN1"/>
    <mergeCell ref="BR8:BU8"/>
    <mergeCell ref="BR3:BS3"/>
    <mergeCell ref="BK3:BL3"/>
    <mergeCell ref="BC3:BD3"/>
    <mergeCell ref="AM14:AN14"/>
    <mergeCell ref="BQ70:BR70"/>
    <mergeCell ref="C4:D5"/>
    <mergeCell ref="U49:V49"/>
    <mergeCell ref="E4:F5"/>
    <mergeCell ref="AV46:AW47"/>
    <mergeCell ref="B84:C84"/>
    <mergeCell ref="D84:E84"/>
    <mergeCell ref="BR60:BS61"/>
    <mergeCell ref="BS42:BT42"/>
    <mergeCell ref="Y38:Z38"/>
    <mergeCell ref="AA38:AB38"/>
    <mergeCell ref="AF35:AG35"/>
    <mergeCell ref="R10:S10"/>
    <mergeCell ref="AX11:AY12"/>
    <mergeCell ref="BC57:BF57"/>
    <mergeCell ref="AG45:AH45"/>
    <mergeCell ref="BL84:BM84"/>
    <mergeCell ref="AV39:AW40"/>
    <mergeCell ref="BT18:BU19"/>
    <mergeCell ref="Y66:Z66"/>
    <mergeCell ref="E73:F73"/>
    <mergeCell ref="BT59:BU59"/>
    <mergeCell ref="BD42:BE42"/>
    <mergeCell ref="BR67:BS68"/>
    <mergeCell ref="BJ28:BK28"/>
    <mergeCell ref="AG8:AJ8"/>
    <mergeCell ref="AA31:AB31"/>
    <mergeCell ref="BC38:BD38"/>
    <mergeCell ref="I35:J35"/>
    <mergeCell ref="K35:L35"/>
    <mergeCell ref="K63:L63"/>
    <mergeCell ref="AF21:AG21"/>
    <mergeCell ref="BK32:BL33"/>
    <mergeCell ref="BM32:BN33"/>
    <mergeCell ref="BL28:BM28"/>
    <mergeCell ref="BK59:BL59"/>
    <mergeCell ref="R24:S24"/>
    <mergeCell ref="J18:K19"/>
    <mergeCell ref="M42:N42"/>
    <mergeCell ref="J53:K54"/>
    <mergeCell ref="M63:N63"/>
    <mergeCell ref="S84:T84"/>
    <mergeCell ref="AM77:AN77"/>
    <mergeCell ref="U21:V21"/>
    <mergeCell ref="U84:V84"/>
    <mergeCell ref="AA18:AB19"/>
    <mergeCell ref="BE53:BF54"/>
    <mergeCell ref="BM31:BN31"/>
    <mergeCell ref="S28:T28"/>
    <mergeCell ref="U28:V28"/>
    <mergeCell ref="AW63:AX63"/>
    <mergeCell ref="Y71:AB71"/>
    <mergeCell ref="AY63:AZ63"/>
    <mergeCell ref="AI31:AJ31"/>
    <mergeCell ref="T38:U38"/>
    <mergeCell ref="AB70:AC70"/>
    <mergeCell ref="AG25:AH26"/>
    <mergeCell ref="Y25:Z26"/>
    <mergeCell ref="BD84:BE84"/>
    <mergeCell ref="BF84:BG84"/>
    <mergeCell ref="X84:Y84"/>
    <mergeCell ref="Z84:AA84"/>
    <mergeCell ref="AG81:AH82"/>
    <mergeCell ref="T67:U68"/>
    <mergeCell ref="BC59:BD59"/>
    <mergeCell ref="J81:K82"/>
    <mergeCell ref="L18:M19"/>
    <mergeCell ref="L59:M59"/>
    <mergeCell ref="Q56:R56"/>
    <mergeCell ref="C64:F64"/>
    <mergeCell ref="S56:T56"/>
    <mergeCell ref="B28:C28"/>
    <mergeCell ref="AW7:AX7"/>
    <mergeCell ref="BQ14:BR14"/>
    <mergeCell ref="D28:E28"/>
    <mergeCell ref="AP53:AQ54"/>
    <mergeCell ref="AY21:AZ21"/>
    <mergeCell ref="AN60:AO61"/>
    <mergeCell ref="C81:D82"/>
    <mergeCell ref="AO42:AP42"/>
    <mergeCell ref="AQ42:AR42"/>
    <mergeCell ref="J15:M15"/>
    <mergeCell ref="Y73:Z73"/>
    <mergeCell ref="BF77:BG77"/>
    <mergeCell ref="AP32:AQ33"/>
    <mergeCell ref="BK71:BN71"/>
    <mergeCell ref="AG57:AJ57"/>
    <mergeCell ref="C45:D45"/>
    <mergeCell ref="AX18:AY19"/>
    <mergeCell ref="C24:D24"/>
    <mergeCell ref="E24:F24"/>
    <mergeCell ref="AJ56:AK56"/>
    <mergeCell ref="AV15:AY15"/>
    <mergeCell ref="AG59:AH59"/>
    <mergeCell ref="BK73:BL73"/>
    <mergeCell ref="AI59:AJ59"/>
    <mergeCell ref="BM73:BN73"/>
    <mergeCell ref="C36:F36"/>
    <mergeCell ref="BJ42:BK42"/>
    <mergeCell ref="C50:F50"/>
    <mergeCell ref="AG66:AH66"/>
    <mergeCell ref="BL42:BM42"/>
    <mergeCell ref="R38:S38"/>
    <mergeCell ref="BE46:BF47"/>
    <mergeCell ref="B21:C21"/>
    <mergeCell ref="C29:F29"/>
    <mergeCell ref="AV18:AW19"/>
    <mergeCell ref="J46:K47"/>
    <mergeCell ref="AB63:AC63"/>
    <mergeCell ref="AY35:AZ35"/>
    <mergeCell ref="D42:E42"/>
    <mergeCell ref="C15:F15"/>
    <mergeCell ref="C57:F57"/>
    <mergeCell ref="C67:D68"/>
    <mergeCell ref="BD49:BE49"/>
    <mergeCell ref="BR29:BU29"/>
    <mergeCell ref="AM84:AN84"/>
    <mergeCell ref="K70:L70"/>
    <mergeCell ref="Y39:Z40"/>
    <mergeCell ref="BF63:BG63"/>
    <mergeCell ref="AP46:AQ47"/>
    <mergeCell ref="C11:D12"/>
    <mergeCell ref="F49:G49"/>
    <mergeCell ref="R46:S47"/>
    <mergeCell ref="I14:J14"/>
    <mergeCell ref="I77:J77"/>
    <mergeCell ref="K14:L14"/>
    <mergeCell ref="AA53:AB54"/>
    <mergeCell ref="BC60:BD61"/>
    <mergeCell ref="BE60:BF61"/>
    <mergeCell ref="BR45:BS45"/>
    <mergeCell ref="Q35:R35"/>
    <mergeCell ref="S35:T35"/>
    <mergeCell ref="S63:T63"/>
    <mergeCell ref="AU70:AV70"/>
    <mergeCell ref="U63:V63"/>
    <mergeCell ref="AW70:AX70"/>
    <mergeCell ref="R60:S61"/>
    <mergeCell ref="T60:U61"/>
    <mergeCell ref="U42:V42"/>
    <mergeCell ref="T32:U33"/>
    <mergeCell ref="AM7:AN7"/>
    <mergeCell ref="AN4:AO5"/>
    <mergeCell ref="AB14:AC14"/>
    <mergeCell ref="BR1:BU1"/>
    <mergeCell ref="BT17:BU17"/>
    <mergeCell ref="T3:U3"/>
    <mergeCell ref="R15:U15"/>
    <mergeCell ref="BR4:BS5"/>
    <mergeCell ref="BT4:BU5"/>
    <mergeCell ref="BR11:BS12"/>
    <mergeCell ref="BF42:BG42"/>
    <mergeCell ref="BL49:BM49"/>
    <mergeCell ref="BE18:BF19"/>
    <mergeCell ref="BT3:BU3"/>
    <mergeCell ref="BJ35:BK35"/>
    <mergeCell ref="BE38:BF38"/>
    <mergeCell ref="BT32:BU33"/>
    <mergeCell ref="AB7:AC7"/>
    <mergeCell ref="AG3:AH3"/>
    <mergeCell ref="AI3:AJ3"/>
    <mergeCell ref="BK24:BL24"/>
    <mergeCell ref="BJ21:BK21"/>
    <mergeCell ref="AV1:AY1"/>
    <mergeCell ref="AU14:AV14"/>
    <mergeCell ref="BT74:BU75"/>
    <mergeCell ref="AW14:AX14"/>
    <mergeCell ref="AP17:AQ17"/>
    <mergeCell ref="AV38:AW38"/>
    <mergeCell ref="AN29:AQ29"/>
    <mergeCell ref="AM63:AN63"/>
    <mergeCell ref="BR74:BS75"/>
    <mergeCell ref="BR15:BU15"/>
    <mergeCell ref="BT25:BU26"/>
    <mergeCell ref="AP4:AQ5"/>
    <mergeCell ref="BU42:BV42"/>
    <mergeCell ref="BC4:BD5"/>
    <mergeCell ref="BT66:BU66"/>
    <mergeCell ref="B42:C42"/>
    <mergeCell ref="AG73:AH73"/>
    <mergeCell ref="BQ84:BR84"/>
    <mergeCell ref="AB77:AC77"/>
    <mergeCell ref="L32:M33"/>
    <mergeCell ref="Y80:Z80"/>
    <mergeCell ref="BT73:BU73"/>
    <mergeCell ref="AG64:AJ64"/>
    <mergeCell ref="T18:U19"/>
    <mergeCell ref="AV53:AW54"/>
    <mergeCell ref="AX53:AY54"/>
    <mergeCell ref="T59:U59"/>
    <mergeCell ref="Y24:Z24"/>
    <mergeCell ref="AN74:AO75"/>
    <mergeCell ref="BQ21:BR21"/>
    <mergeCell ref="AI38:AJ38"/>
    <mergeCell ref="BC73:BD73"/>
    <mergeCell ref="BE73:BF73"/>
    <mergeCell ref="BT39:BU40"/>
    <mergeCell ref="BR57:BU57"/>
    <mergeCell ref="BS84:BT84"/>
    <mergeCell ref="BR59:BS59"/>
    <mergeCell ref="BR66:BS66"/>
    <mergeCell ref="AI73:AJ73"/>
    <mergeCell ref="AN24:AO24"/>
    <mergeCell ref="I21:J21"/>
    <mergeCell ref="C59:D59"/>
    <mergeCell ref="BN77:BO77"/>
    <mergeCell ref="AX32:AY33"/>
    <mergeCell ref="BK17:BL17"/>
    <mergeCell ref="BK80:BL80"/>
    <mergeCell ref="E59:F59"/>
    <mergeCell ref="BC80:BD80"/>
    <mergeCell ref="BK29:BN29"/>
    <mergeCell ref="BD28:BE28"/>
    <mergeCell ref="AI46:AJ47"/>
    <mergeCell ref="AU77:AV77"/>
    <mergeCell ref="BM53:BN54"/>
    <mergeCell ref="AP24:AQ24"/>
    <mergeCell ref="K21:L21"/>
    <mergeCell ref="BE74:BF75"/>
    <mergeCell ref="AG71:AJ71"/>
    <mergeCell ref="J45:K45"/>
    <mergeCell ref="AV43:AY43"/>
    <mergeCell ref="AX73:AY73"/>
    <mergeCell ref="AV60:AW61"/>
    <mergeCell ref="E38:F38"/>
    <mergeCell ref="AV29:AY29"/>
    <mergeCell ref="AJ14:AK14"/>
    <mergeCell ref="E10:F10"/>
    <mergeCell ref="B7:C7"/>
    <mergeCell ref="BF28:BG28"/>
    <mergeCell ref="AA74:AB75"/>
    <mergeCell ref="AN43:AQ43"/>
    <mergeCell ref="Z49:AA49"/>
    <mergeCell ref="BB56:BC56"/>
    <mergeCell ref="AB49:AC49"/>
    <mergeCell ref="BD56:BE56"/>
    <mergeCell ref="AJ63:AK63"/>
    <mergeCell ref="T46:U47"/>
    <mergeCell ref="AJ7:AK7"/>
    <mergeCell ref="AG10:AH10"/>
    <mergeCell ref="Y10:Z10"/>
    <mergeCell ref="AI10:AJ10"/>
    <mergeCell ref="AN45:AO45"/>
    <mergeCell ref="AA60:AB61"/>
    <mergeCell ref="AP45:AQ45"/>
    <mergeCell ref="BC39:BD40"/>
    <mergeCell ref="Q70:R70"/>
    <mergeCell ref="S70:T70"/>
    <mergeCell ref="C25:D26"/>
    <mergeCell ref="BF21:BG21"/>
    <mergeCell ref="BR80:BS80"/>
    <mergeCell ref="BT80:BU80"/>
    <mergeCell ref="L4:M5"/>
    <mergeCell ref="AN11:AO12"/>
    <mergeCell ref="AV45:AW45"/>
    <mergeCell ref="AQ49:AR49"/>
    <mergeCell ref="C66:D66"/>
    <mergeCell ref="L39:M40"/>
    <mergeCell ref="AB84:AC84"/>
    <mergeCell ref="AG80:AH80"/>
    <mergeCell ref="AI80:AJ80"/>
    <mergeCell ref="AI17:AJ17"/>
    <mergeCell ref="AG29:AJ29"/>
    <mergeCell ref="Y31:Z31"/>
    <mergeCell ref="R43:U43"/>
    <mergeCell ref="K84:L84"/>
    <mergeCell ref="M84:N84"/>
    <mergeCell ref="X56:Y56"/>
    <mergeCell ref="J64:M64"/>
    <mergeCell ref="Z56:AA56"/>
    <mergeCell ref="AM35:AN35"/>
    <mergeCell ref="AO35:AP35"/>
    <mergeCell ref="AH14:AI14"/>
    <mergeCell ref="C10:D10"/>
    <mergeCell ref="BF14:BG14"/>
    <mergeCell ref="Y60:Z61"/>
    <mergeCell ref="E60:F61"/>
    <mergeCell ref="AN57:AQ57"/>
    <mergeCell ref="BN49:BO49"/>
    <mergeCell ref="R45:S45"/>
    <mergeCell ref="C22:F22"/>
    <mergeCell ref="AW84:AX84"/>
    <mergeCell ref="BR64:BU64"/>
    <mergeCell ref="AG39:AH40"/>
    <mergeCell ref="AY84:AZ84"/>
    <mergeCell ref="AN52:AO52"/>
    <mergeCell ref="AI39:AJ40"/>
    <mergeCell ref="J80:K80"/>
    <mergeCell ref="L80:M80"/>
    <mergeCell ref="AW28:AX28"/>
    <mergeCell ref="Q77:R77"/>
    <mergeCell ref="AY28:AZ28"/>
    <mergeCell ref="BQ42:BR42"/>
    <mergeCell ref="D56:E56"/>
    <mergeCell ref="BN28:BO28"/>
    <mergeCell ref="BC31:BD31"/>
    <mergeCell ref="BR25:BS26"/>
    <mergeCell ref="BU77:BV77"/>
    <mergeCell ref="AB35:AC35"/>
    <mergeCell ref="J8:M8"/>
    <mergeCell ref="BK10:BL10"/>
    <mergeCell ref="R74:S75"/>
    <mergeCell ref="T74:U75"/>
    <mergeCell ref="AV81:AW82"/>
    <mergeCell ref="L24:M24"/>
    <mergeCell ref="I28:J28"/>
    <mergeCell ref="AN59:AO59"/>
    <mergeCell ref="AP59:AQ59"/>
    <mergeCell ref="J36:M36"/>
    <mergeCell ref="J67:K68"/>
    <mergeCell ref="AV52:AW52"/>
    <mergeCell ref="AV74:AW75"/>
    <mergeCell ref="AX74:AY75"/>
    <mergeCell ref="AV67:AW68"/>
    <mergeCell ref="BD70:BE70"/>
    <mergeCell ref="AN25:AO26"/>
    <mergeCell ref="BF70:BG70"/>
    <mergeCell ref="AG50:AJ50"/>
    <mergeCell ref="AP25:AQ26"/>
    <mergeCell ref="AV11:AW12"/>
    <mergeCell ref="BK38:BL38"/>
    <mergeCell ref="BD14:BE14"/>
    <mergeCell ref="K42:L42"/>
    <mergeCell ref="B63:C63"/>
    <mergeCell ref="AA4:AB5"/>
    <mergeCell ref="AX45:AY45"/>
    <mergeCell ref="AN3:AO3"/>
    <mergeCell ref="AP3:AQ3"/>
    <mergeCell ref="J50:M50"/>
    <mergeCell ref="AX17:AY17"/>
    <mergeCell ref="AM21:AN21"/>
    <mergeCell ref="AN15:AQ15"/>
    <mergeCell ref="AO21:AP21"/>
    <mergeCell ref="AV24:AW24"/>
    <mergeCell ref="AX24:AY24"/>
    <mergeCell ref="AV36:AY36"/>
    <mergeCell ref="J11:K12"/>
    <mergeCell ref="M49:N49"/>
    <mergeCell ref="T45:U45"/>
    <mergeCell ref="AG24:AH24"/>
    <mergeCell ref="AB28:AC28"/>
    <mergeCell ref="AI24:AJ24"/>
    <mergeCell ref="AV4:AW5"/>
    <mergeCell ref="AG36:AJ36"/>
    <mergeCell ref="AX4:AY5"/>
    <mergeCell ref="Z35:AA35"/>
    <mergeCell ref="BE3:BF3"/>
    <mergeCell ref="X63:Y63"/>
    <mergeCell ref="AU35:AV35"/>
    <mergeCell ref="AP38:AQ38"/>
    <mergeCell ref="BC15:BF15"/>
    <mergeCell ref="AW35:AX35"/>
    <mergeCell ref="R18:S19"/>
    <mergeCell ref="R81:S82"/>
    <mergeCell ref="BK25:BL26"/>
    <mergeCell ref="AV57:AY57"/>
    <mergeCell ref="AN66:AO66"/>
    <mergeCell ref="Q49:R49"/>
    <mergeCell ref="AW42:AX42"/>
    <mergeCell ref="AY42:AZ42"/>
    <mergeCell ref="BK43:BN43"/>
    <mergeCell ref="R64:U64"/>
    <mergeCell ref="BN7:BO7"/>
    <mergeCell ref="BK60:BL61"/>
    <mergeCell ref="BM60:BN61"/>
    <mergeCell ref="BN42:BO42"/>
    <mergeCell ref="AP73:AQ73"/>
    <mergeCell ref="BC45:BD45"/>
    <mergeCell ref="BE45:BF45"/>
    <mergeCell ref="R66:S66"/>
    <mergeCell ref="I7:J7"/>
    <mergeCell ref="J57:M57"/>
    <mergeCell ref="Q21:R21"/>
    <mergeCell ref="S21:T21"/>
    <mergeCell ref="BC53:BD54"/>
    <mergeCell ref="J1:M1"/>
    <mergeCell ref="Q28:R28"/>
    <mergeCell ref="AX59:AY59"/>
    <mergeCell ref="AA46:AB47"/>
    <mergeCell ref="R4:S5"/>
    <mergeCell ref="T4:U5"/>
    <mergeCell ref="J3:K3"/>
    <mergeCell ref="AG38:AH38"/>
    <mergeCell ref="AJ28:AK28"/>
    <mergeCell ref="AG31:AH31"/>
    <mergeCell ref="BC43:BF43"/>
    <mergeCell ref="AH56:AI56"/>
    <mergeCell ref="AV25:AW26"/>
    <mergeCell ref="AX25:AY26"/>
    <mergeCell ref="X7:Y7"/>
    <mergeCell ref="L38:M38"/>
    <mergeCell ref="Z7:AA7"/>
    <mergeCell ref="I42:J42"/>
    <mergeCell ref="R1:U1"/>
    <mergeCell ref="C80:D80"/>
    <mergeCell ref="F56:G56"/>
    <mergeCell ref="AU63:AV63"/>
    <mergeCell ref="E80:F80"/>
    <mergeCell ref="BM38:BN38"/>
    <mergeCell ref="BS14:BT14"/>
    <mergeCell ref="F28:G28"/>
    <mergeCell ref="AN10:AO10"/>
    <mergeCell ref="BU14:BV14"/>
    <mergeCell ref="AP10:AQ10"/>
    <mergeCell ref="AP60:AQ61"/>
    <mergeCell ref="AN22:AQ22"/>
    <mergeCell ref="AX38:AY38"/>
    <mergeCell ref="BR39:BS40"/>
    <mergeCell ref="D35:E35"/>
    <mergeCell ref="F35:G35"/>
    <mergeCell ref="R25:S26"/>
    <mergeCell ref="Z70:AA70"/>
    <mergeCell ref="J25:K26"/>
    <mergeCell ref="BB77:BC77"/>
    <mergeCell ref="BM46:BN47"/>
    <mergeCell ref="L25:M26"/>
    <mergeCell ref="BD77:BE77"/>
    <mergeCell ref="AN32:AO33"/>
    <mergeCell ref="AV78:AY78"/>
    <mergeCell ref="R53:S54"/>
    <mergeCell ref="AQ14:AR14"/>
    <mergeCell ref="L10:M10"/>
    <mergeCell ref="AN17:AO17"/>
    <mergeCell ref="J22:M22"/>
    <mergeCell ref="AN39:AO40"/>
    <mergeCell ref="Q42:R42"/>
    <mergeCell ref="AP39:AQ40"/>
    <mergeCell ref="R11:S12"/>
    <mergeCell ref="T11:U12"/>
    <mergeCell ref="AF77:AG77"/>
    <mergeCell ref="X77:Y77"/>
    <mergeCell ref="AH77:AI77"/>
    <mergeCell ref="Z77:AA77"/>
    <mergeCell ref="J32:K33"/>
    <mergeCell ref="J66:K66"/>
    <mergeCell ref="T66:U66"/>
    <mergeCell ref="L66:M66"/>
    <mergeCell ref="R78:U78"/>
    <mergeCell ref="J78:M78"/>
    <mergeCell ref="M14:N14"/>
    <mergeCell ref="AQ70:AR70"/>
    <mergeCell ref="AG78:AJ78"/>
    <mergeCell ref="R8:U8"/>
    <mergeCell ref="BU28:BV28"/>
    <mergeCell ref="BS56:BT56"/>
    <mergeCell ref="BU56:BV56"/>
    <mergeCell ref="BM52:BN52"/>
    <mergeCell ref="BU35:BV35"/>
    <mergeCell ref="B56:C56"/>
    <mergeCell ref="AX3:AY3"/>
    <mergeCell ref="C71:F71"/>
    <mergeCell ref="AX66:AY66"/>
    <mergeCell ref="AU7:AV7"/>
    <mergeCell ref="AV66:AW66"/>
    <mergeCell ref="Q63:R63"/>
    <mergeCell ref="AF42:AG42"/>
    <mergeCell ref="F70:G70"/>
    <mergeCell ref="BB49:BC49"/>
    <mergeCell ref="BR24:BS24"/>
    <mergeCell ref="BT24:BU24"/>
    <mergeCell ref="BR36:BU36"/>
    <mergeCell ref="BR50:BU50"/>
    <mergeCell ref="BC67:BD68"/>
    <mergeCell ref="BU49:BV49"/>
    <mergeCell ref="BL70:BM70"/>
    <mergeCell ref="BU63:BV63"/>
    <mergeCell ref="AQ77:AR77"/>
    <mergeCell ref="BR10:BS10"/>
    <mergeCell ref="BT10:BU10"/>
    <mergeCell ref="AA24:AB24"/>
    <mergeCell ref="BT60:BU61"/>
    <mergeCell ref="BR22:BU22"/>
    <mergeCell ref="C31:D31"/>
    <mergeCell ref="AJ35:AK35"/>
    <mergeCell ref="E31:F31"/>
    <mergeCell ref="C17:D17"/>
    <mergeCell ref="AH49:AI49"/>
    <mergeCell ref="BJ56:BK56"/>
    <mergeCell ref="AJ49:AK49"/>
    <mergeCell ref="AI18:AJ19"/>
    <mergeCell ref="BL56:BM56"/>
    <mergeCell ref="R52:S52"/>
    <mergeCell ref="C39:D40"/>
    <mergeCell ref="AN64:AQ64"/>
    <mergeCell ref="J52:K52"/>
    <mergeCell ref="E39:F40"/>
    <mergeCell ref="I63:J63"/>
    <mergeCell ref="BM18:BN19"/>
    <mergeCell ref="E52:F52"/>
    <mergeCell ref="BN63:BO63"/>
    <mergeCell ref="F7:G7"/>
    <mergeCell ref="AG11:AH12"/>
    <mergeCell ref="E81:F82"/>
    <mergeCell ref="BN70:BO70"/>
    <mergeCell ref="BJ77:BK77"/>
    <mergeCell ref="BE80:BF80"/>
    <mergeCell ref="BL14:BM14"/>
    <mergeCell ref="BL77:BM77"/>
    <mergeCell ref="BN14:BO14"/>
    <mergeCell ref="AV32:AW33"/>
    <mergeCell ref="AG60:AH61"/>
    <mergeCell ref="E66:F66"/>
    <mergeCell ref="AI60:AJ61"/>
    <mergeCell ref="AG22:AJ22"/>
    <mergeCell ref="BK39:BL40"/>
    <mergeCell ref="BB28:BC28"/>
    <mergeCell ref="BC36:BF36"/>
    <mergeCell ref="AN80:AO80"/>
    <mergeCell ref="AP80:AQ80"/>
    <mergeCell ref="BC52:BD52"/>
    <mergeCell ref="BE52:BF52"/>
    <mergeCell ref="J71:M71"/>
    <mergeCell ref="BM74:BN75"/>
    <mergeCell ref="AM28:AN28"/>
    <mergeCell ref="Y81:Z82"/>
    <mergeCell ref="AV22:AY22"/>
    <mergeCell ref="AA81:AB82"/>
    <mergeCell ref="AF56:AG56"/>
    <mergeCell ref="AI45:AJ45"/>
    <mergeCell ref="C38:D38"/>
    <mergeCell ref="AH70:AI70"/>
    <mergeCell ref="AJ70:AK70"/>
    <mergeCell ref="AX39:AY40"/>
    <mergeCell ref="T25:U26"/>
    <mergeCell ref="C60:D61"/>
    <mergeCell ref="C73:D73"/>
    <mergeCell ref="C53:D54"/>
    <mergeCell ref="AN50:AQ50"/>
    <mergeCell ref="E53:F54"/>
    <mergeCell ref="K56:L56"/>
    <mergeCell ref="J73:K73"/>
    <mergeCell ref="AN67:AO68"/>
    <mergeCell ref="L73:M73"/>
    <mergeCell ref="Y52:Z52"/>
    <mergeCell ref="AA52:AB52"/>
    <mergeCell ref="J29:M29"/>
    <mergeCell ref="B49:C49"/>
    <mergeCell ref="AN36:AQ36"/>
    <mergeCell ref="Y1:AB1"/>
    <mergeCell ref="E46:F47"/>
    <mergeCell ref="BE59:BF59"/>
    <mergeCell ref="AA45:AB45"/>
    <mergeCell ref="BC50:BF50"/>
    <mergeCell ref="M56:N56"/>
    <mergeCell ref="BB63:BC63"/>
    <mergeCell ref="T80:U80"/>
    <mergeCell ref="Y18:Z19"/>
    <mergeCell ref="BD63:BE63"/>
    <mergeCell ref="AI4:AJ5"/>
    <mergeCell ref="BC11:BD12"/>
    <mergeCell ref="BE11:BF12"/>
    <mergeCell ref="BC18:BD19"/>
    <mergeCell ref="AN31:AO31"/>
    <mergeCell ref="AU28:AV28"/>
    <mergeCell ref="AP31:AQ31"/>
    <mergeCell ref="BC8:BF8"/>
    <mergeCell ref="BC78:BF78"/>
    <mergeCell ref="Y53:Z54"/>
    <mergeCell ref="M35:N35"/>
    <mergeCell ref="BC1:BF1"/>
    <mergeCell ref="AH21:AI21"/>
    <mergeCell ref="AJ21:AK21"/>
    <mergeCell ref="I84:J84"/>
    <mergeCell ref="BT38:BU38"/>
    <mergeCell ref="AG52:AH52"/>
    <mergeCell ref="X49:Y49"/>
    <mergeCell ref="T24:U24"/>
    <mergeCell ref="AI74:AJ75"/>
    <mergeCell ref="BL21:BM21"/>
    <mergeCell ref="BK81:BL82"/>
    <mergeCell ref="R36:U36"/>
    <mergeCell ref="BC81:BD82"/>
    <mergeCell ref="BN21:BO21"/>
    <mergeCell ref="S42:T42"/>
    <mergeCell ref="BE81:BF82"/>
    <mergeCell ref="BB42:BC42"/>
    <mergeCell ref="AI67:AJ68"/>
    <mergeCell ref="AA67:AB68"/>
    <mergeCell ref="R50:U50"/>
    <mergeCell ref="BM45:BN45"/>
    <mergeCell ref="AV80:AW80"/>
    <mergeCell ref="BJ49:BK49"/>
    <mergeCell ref="AX80:AY80"/>
    <mergeCell ref="AU84:AV84"/>
    <mergeCell ref="AW21:AX21"/>
    <mergeCell ref="R67:S68"/>
    <mergeCell ref="BM4:BN5"/>
    <mergeCell ref="AW56:AX56"/>
    <mergeCell ref="Y64:AB64"/>
    <mergeCell ref="J24:K24"/>
    <mergeCell ref="AY56:AZ56"/>
    <mergeCell ref="BC25:BD26"/>
    <mergeCell ref="F84:G84"/>
    <mergeCell ref="AQ56:AR56"/>
    <mergeCell ref="AO56:AP56"/>
    <mergeCell ref="AH35:AI35"/>
    <mergeCell ref="T10:U10"/>
    <mergeCell ref="AV17:AW17"/>
    <mergeCell ref="R22:U22"/>
    <mergeCell ref="BM67:BN68"/>
    <mergeCell ref="BN84:BO84"/>
    <mergeCell ref="L81:M82"/>
    <mergeCell ref="BK64:BN64"/>
    <mergeCell ref="AA66:AB66"/>
    <mergeCell ref="BK11:BL12"/>
    <mergeCell ref="AI52:AJ52"/>
    <mergeCell ref="Y78:AB78"/>
    <mergeCell ref="BC46:BD47"/>
    <mergeCell ref="BK31:BL31"/>
    <mergeCell ref="AJ84:AK84"/>
    <mergeCell ref="BM81:BN82"/>
    <mergeCell ref="BS7:BT7"/>
    <mergeCell ref="BU7:BV7"/>
    <mergeCell ref="X28:Y28"/>
    <mergeCell ref="BT31:BU31"/>
    <mergeCell ref="Z28:AA28"/>
    <mergeCell ref="AN53:AO54"/>
    <mergeCell ref="AV64:AY64"/>
    <mergeCell ref="E45:F45"/>
    <mergeCell ref="AX81:AY82"/>
    <mergeCell ref="BK66:BL66"/>
    <mergeCell ref="AF63:AG63"/>
    <mergeCell ref="BM66:BN66"/>
    <mergeCell ref="BC66:BD66"/>
    <mergeCell ref="X35:Y35"/>
    <mergeCell ref="BE66:BF66"/>
    <mergeCell ref="BB7:BC7"/>
    <mergeCell ref="BB70:BC70"/>
    <mergeCell ref="BD7:BE7"/>
    <mergeCell ref="BK78:BN78"/>
    <mergeCell ref="AM42:AN42"/>
    <mergeCell ref="D77:E77"/>
    <mergeCell ref="F14:G14"/>
    <mergeCell ref="AV10:AW10"/>
    <mergeCell ref="BR71:BU71"/>
    <mergeCell ref="AA11:AB12"/>
    <mergeCell ref="M70:N70"/>
    <mergeCell ref="AO77:AP77"/>
    <mergeCell ref="Y32:Z33"/>
    <mergeCell ref="AF49:AG49"/>
    <mergeCell ref="R57:U57"/>
    <mergeCell ref="AG18:AH19"/>
    <mergeCell ref="BU70:BV70"/>
    <mergeCell ref="AI66:AJ66"/>
    <mergeCell ref="AF70:AG70"/>
    <mergeCell ref="X70:Y70"/>
    <mergeCell ref="BT53:BU54"/>
    <mergeCell ref="BM59:BN59"/>
    <mergeCell ref="BJ63:BK63"/>
    <mergeCell ref="BQ77:BR77"/>
    <mergeCell ref="BT52:BU52"/>
    <mergeCell ref="BS77:BT77"/>
    <mergeCell ref="BB35:BC35"/>
    <mergeCell ref="BD35:BE35"/>
    <mergeCell ref="BE24:BF24"/>
    <mergeCell ref="Z21:AA21"/>
    <mergeCell ref="AB21:AC21"/>
    <mergeCell ref="AG17:AH17"/>
    <mergeCell ref="Q84:R84"/>
    <mergeCell ref="BK53:BL54"/>
    <mergeCell ref="R31:S31"/>
    <mergeCell ref="J31:K31"/>
    <mergeCell ref="AQ35:AR35"/>
    <mergeCell ref="L31:M31"/>
    <mergeCell ref="AN38:AO38"/>
    <mergeCell ref="BS70:BT70"/>
    <mergeCell ref="Y8:AB8"/>
    <mergeCell ref="BE25:BF26"/>
    <mergeCell ref="AV50:AY50"/>
    <mergeCell ref="BR73:BS73"/>
    <mergeCell ref="BM11:BN12"/>
    <mergeCell ref="U56:V56"/>
    <mergeCell ref="R59:S59"/>
    <mergeCell ref="BC32:BD33"/>
    <mergeCell ref="J59:K59"/>
    <mergeCell ref="BR17:BS17"/>
    <mergeCell ref="BE32:BF33"/>
    <mergeCell ref="AO63:AP63"/>
    <mergeCell ref="AQ63:AR63"/>
    <mergeCell ref="AV59:AW59"/>
    <mergeCell ref="AI81:AJ82"/>
    <mergeCell ref="Z63:AA63"/>
    <mergeCell ref="BR52:BS52"/>
    <mergeCell ref="T39:U40"/>
    <mergeCell ref="Y46:Z47"/>
    <mergeCell ref="C43:F43"/>
    <mergeCell ref="BL35:BM35"/>
    <mergeCell ref="BN35:BO35"/>
    <mergeCell ref="AV8:AY8"/>
    <mergeCell ref="AV31:AW31"/>
    <mergeCell ref="AO7:AP7"/>
    <mergeCell ref="B35:C35"/>
    <mergeCell ref="BB14:BC14"/>
    <mergeCell ref="BK46:BL47"/>
    <mergeCell ref="Y17:Z17"/>
    <mergeCell ref="X42:Y42"/>
    <mergeCell ref="Z42:AA42"/>
    <mergeCell ref="AH28:AI28"/>
    <mergeCell ref="AI11:AJ12"/>
    <mergeCell ref="Y11:Z12"/>
    <mergeCell ref="BQ7:BR7"/>
    <mergeCell ref="D21:E21"/>
    <mergeCell ref="C52:D52"/>
    <mergeCell ref="AX10:AY10"/>
    <mergeCell ref="AF7:AG7"/>
    <mergeCell ref="AH7:AI7"/>
    <mergeCell ref="C74:D75"/>
    <mergeCell ref="E11:F12"/>
    <mergeCell ref="BL63:BM63"/>
    <mergeCell ref="AN71:AQ71"/>
    <mergeCell ref="E74:F75"/>
    <mergeCell ref="AV71:AY71"/>
    <mergeCell ref="K77:L77"/>
    <mergeCell ref="M77:N77"/>
    <mergeCell ref="BJ7:BK7"/>
    <mergeCell ref="BE10:BF10"/>
    <mergeCell ref="AA59:AB59"/>
    <mergeCell ref="BL7:BM7"/>
    <mergeCell ref="AN73:AO73"/>
    <mergeCell ref="K7:L7"/>
    <mergeCell ref="AU42:AV42"/>
    <mergeCell ref="AN46:AO47"/>
    <mergeCell ref="M21:N21"/>
    <mergeCell ref="T17:U17"/>
    <mergeCell ref="AY49:AZ49"/>
    <mergeCell ref="BK8:BN8"/>
    <mergeCell ref="D49:E49"/>
    <mergeCell ref="E67:F68"/>
    <mergeCell ref="B77:C77"/>
    <mergeCell ref="F77:G77"/>
    <mergeCell ref="R3:S3"/>
    <mergeCell ref="BC22:BF22"/>
    <mergeCell ref="AG53:AH54"/>
    <mergeCell ref="AI53:AJ54"/>
    <mergeCell ref="U35:V35"/>
    <mergeCell ref="AA3:AB3"/>
    <mergeCell ref="C8:F8"/>
    <mergeCell ref="J38:K38"/>
    <mergeCell ref="AY70:AZ70"/>
    <mergeCell ref="AI25:AJ26"/>
    <mergeCell ref="AA25:AB26"/>
    <mergeCell ref="Y15:AB15"/>
    <mergeCell ref="AY14:AZ14"/>
    <mergeCell ref="AG32:AH33"/>
    <mergeCell ref="AI32:AJ33"/>
    <mergeCell ref="BE4:BF5"/>
    <mergeCell ref="BE67:BF68"/>
    <mergeCell ref="Q7:R7"/>
    <mergeCell ref="AU21:AV21"/>
    <mergeCell ref="U14:V14"/>
    <mergeCell ref="J17:K17"/>
    <mergeCell ref="L17:M17"/>
    <mergeCell ref="BC64:BF64"/>
    <mergeCell ref="AN8:AQ8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0FC6E-D65F-4786-A7EE-51B03042D2D2}">
  <sheetPr codeName="Sheet6"/>
  <dimension ref="A1:BW42"/>
  <sheetViews>
    <sheetView tabSelected="1" view="pageLayout" zoomScale="55" zoomScaleNormal="70" zoomScalePageLayoutView="55" workbookViewId="0">
      <selection activeCell="K7" sqref="K7:L7"/>
    </sheetView>
  </sheetViews>
  <sheetFormatPr defaultRowHeight="22.2" x14ac:dyDescent="0.55000000000000004"/>
  <cols>
    <col min="1" max="1" width="3.59765625" style="73" customWidth="1"/>
    <col min="2" max="6" width="7.19921875" style="73" customWidth="1"/>
    <col min="7" max="7" width="7.19921875" style="114" customWidth="1"/>
    <col min="8" max="8" width="7.19921875" style="73" hidden="1" customWidth="1"/>
    <col min="9" max="13" width="7.19921875" style="73" customWidth="1"/>
    <col min="14" max="14" width="7.19921875" style="104" customWidth="1"/>
    <col min="15" max="16" width="3.59765625" style="73" customWidth="1"/>
    <col min="17" max="21" width="7.19921875" style="73" customWidth="1"/>
    <col min="22" max="22" width="7.19921875" style="114" customWidth="1"/>
    <col min="23" max="23" width="7.19921875" style="73" hidden="1" customWidth="1"/>
    <col min="24" max="28" width="7.19921875" style="73" customWidth="1"/>
    <col min="29" max="29" width="7.19921875" style="104" customWidth="1"/>
    <col min="30" max="31" width="3.59765625" style="73" customWidth="1"/>
    <col min="32" max="36" width="7.19921875" style="73" customWidth="1"/>
    <col min="37" max="37" width="7.19921875" style="114" customWidth="1"/>
    <col min="38" max="38" width="7.19921875" style="73" hidden="1" customWidth="1"/>
    <col min="39" max="43" width="7.19921875" style="73" customWidth="1"/>
    <col min="44" max="44" width="7.19921875" style="104" customWidth="1"/>
    <col min="45" max="46" width="3.59765625" style="73" customWidth="1"/>
    <col min="47" max="51" width="7.19921875" style="73" customWidth="1"/>
    <col min="52" max="52" width="7.19921875" style="114" customWidth="1"/>
    <col min="53" max="53" width="7.19921875" style="73" hidden="1" customWidth="1"/>
    <col min="54" max="58" width="7.19921875" style="73" customWidth="1"/>
    <col min="59" max="59" width="7.19921875" style="104" customWidth="1"/>
    <col min="60" max="61" width="3.59765625" style="73" customWidth="1"/>
    <col min="62" max="66" width="7.19921875" style="73" customWidth="1"/>
    <col min="67" max="67" width="7.19921875" style="114" customWidth="1"/>
    <col min="68" max="68" width="7.19921875" style="73" hidden="1" customWidth="1"/>
    <col min="69" max="73" width="7.19921875" style="73" customWidth="1"/>
    <col min="74" max="74" width="7.19921875" style="104" customWidth="1"/>
    <col min="75" max="75" width="3.59765625" style="73" customWidth="1"/>
  </cols>
  <sheetData>
    <row r="1" spans="1:75" s="77" customFormat="1" ht="18" customHeight="1" x14ac:dyDescent="0.55000000000000004">
      <c r="A1" s="75">
        <v>1</v>
      </c>
      <c r="B1" s="109" t="str">
        <f ca="1">IF(D1&lt;&gt;"",MID(貼り付け用!$A$2, FIND("年",貼り付け用!$A$2)+1, LEN(貼り付け用!$A$2)-FIND("年",貼り付け用!$A$2)),"")</f>
        <v/>
      </c>
      <c r="C1" s="110"/>
      <c r="D1" s="117" t="str" cm="1">
        <f t="array" aca="1" ref="D1" ca="1">INDIRECT("'盛付札（関数）'!CL"&amp;A1)</f>
        <v/>
      </c>
      <c r="E1" s="117"/>
      <c r="F1" s="117"/>
      <c r="G1" s="118"/>
      <c r="H1" s="75">
        <f>A1+1</f>
        <v>2</v>
      </c>
      <c r="I1" s="109" t="str">
        <f ca="1">IF(K1&lt;&gt;"",MID(貼り付け用!$A$2, FIND("年",貼り付け用!$A$2)+1, LEN(貼り付け用!$A$2)-FIND("年",貼り付け用!$A$2)),"")</f>
        <v/>
      </c>
      <c r="J1" s="110"/>
      <c r="K1" s="117" t="str" cm="1">
        <f t="array" aca="1" ref="K1" ca="1">INDIRECT("'盛付札（関数）'!CL"&amp;H1)</f>
        <v/>
      </c>
      <c r="L1" s="117"/>
      <c r="M1" s="117"/>
      <c r="N1" s="118"/>
      <c r="O1" s="53"/>
      <c r="P1" s="75">
        <f>H36+1</f>
        <v>13</v>
      </c>
      <c r="Q1" s="109" t="str">
        <f ca="1">IF(S1&lt;&gt;"",MID(貼り付け用!$A$2, FIND("年",貼り付け用!$A$2)+1, LEN(貼り付け用!$A$2)-FIND("年",貼り付け用!$A$2)),"")</f>
        <v/>
      </c>
      <c r="R1" s="110"/>
      <c r="S1" s="117" t="str" cm="1">
        <f t="array" aca="1" ref="S1" ca="1">INDIRECT("'盛付札（関数）'!CL"&amp;P1)</f>
        <v/>
      </c>
      <c r="T1" s="117"/>
      <c r="U1" s="117"/>
      <c r="V1" s="118"/>
      <c r="W1" s="75">
        <f>P1+1</f>
        <v>14</v>
      </c>
      <c r="X1" s="109" t="str">
        <f ca="1">IF(Z1&lt;&gt;"",MID(貼り付け用!$A$2, FIND("年",貼り付け用!$A$2)+1, LEN(貼り付け用!$A$2)-FIND("年",貼り付け用!$A$2)),"")</f>
        <v/>
      </c>
      <c r="Y1" s="110"/>
      <c r="Z1" s="117" t="str" cm="1">
        <f t="array" aca="1" ref="Z1" ca="1">INDIRECT("'盛付札（関数）'!CL"&amp;W1)</f>
        <v/>
      </c>
      <c r="AA1" s="117"/>
      <c r="AB1" s="117"/>
      <c r="AC1" s="118"/>
      <c r="AD1" s="53"/>
      <c r="AE1" s="75">
        <f>W36+1</f>
        <v>25</v>
      </c>
      <c r="AF1" s="109" t="str">
        <f ca="1">IF(AH1&lt;&gt;"",MID(貼り付け用!$A$2, FIND("年",貼り付け用!$A$2)+1, LEN(貼り付け用!$A$2)-FIND("年",貼り付け用!$A$2)),"")</f>
        <v/>
      </c>
      <c r="AG1" s="110"/>
      <c r="AH1" s="117" t="str" cm="1">
        <f t="array" aca="1" ref="AH1" ca="1">INDIRECT("'盛付札（関数）'!CL"&amp;AE1)</f>
        <v/>
      </c>
      <c r="AI1" s="117"/>
      <c r="AJ1" s="117"/>
      <c r="AK1" s="118"/>
      <c r="AL1" s="75">
        <f>AE1+1</f>
        <v>26</v>
      </c>
      <c r="AM1" s="109" t="str">
        <f ca="1">IF(AO1&lt;&gt;"",MID(貼り付け用!$A$2, FIND("年",貼り付け用!$A$2)+1, LEN(貼り付け用!$A$2)-FIND("年",貼り付け用!$A$2)),"")</f>
        <v/>
      </c>
      <c r="AN1" s="110"/>
      <c r="AO1" s="117" t="str" cm="1">
        <f t="array" aca="1" ref="AO1" ca="1">INDIRECT("'盛付札（関数）'!CL"&amp;AL1)</f>
        <v/>
      </c>
      <c r="AP1" s="117"/>
      <c r="AQ1" s="117"/>
      <c r="AR1" s="118"/>
      <c r="AS1" s="53"/>
      <c r="AT1" s="75">
        <f>AL36+1</f>
        <v>37</v>
      </c>
      <c r="AU1" s="109" t="str">
        <f ca="1">IF(AW1&lt;&gt;"",MID(貼り付け用!$A$2, FIND("年",貼り付け用!$A$2)+1, LEN(貼り付け用!$A$2)-FIND("年",貼り付け用!$A$2)),"")</f>
        <v/>
      </c>
      <c r="AV1" s="110"/>
      <c r="AW1" s="117" t="str" cm="1">
        <f t="array" aca="1" ref="AW1" ca="1">INDIRECT("'盛付札（関数）'!CL"&amp;AT1)</f>
        <v/>
      </c>
      <c r="AX1" s="117"/>
      <c r="AY1" s="117"/>
      <c r="AZ1" s="118"/>
      <c r="BA1" s="75">
        <f>AT1+1</f>
        <v>38</v>
      </c>
      <c r="BB1" s="109" t="str">
        <f ca="1">IF(BD1&lt;&gt;"",MID(貼り付け用!$A$2, FIND("年",貼り付け用!$A$2)+1, LEN(貼り付け用!$A$2)-FIND("年",貼り付け用!$A$2)),"")</f>
        <v/>
      </c>
      <c r="BC1" s="110"/>
      <c r="BD1" s="117" t="str" cm="1">
        <f t="array" aca="1" ref="BD1" ca="1">INDIRECT("'盛付札（関数）'!CL"&amp;BA1)</f>
        <v/>
      </c>
      <c r="BE1" s="117"/>
      <c r="BF1" s="117"/>
      <c r="BG1" s="118"/>
      <c r="BH1" s="53"/>
      <c r="BI1" s="75">
        <f>BA36+1</f>
        <v>49</v>
      </c>
      <c r="BJ1" s="109" t="str">
        <f ca="1">IF(BL1&lt;&gt;"",MID(貼り付け用!$A$2, FIND("年",貼り付け用!$A$2)+1, LEN(貼り付け用!$A$2)-FIND("年",貼り付け用!$A$2)),"")</f>
        <v/>
      </c>
      <c r="BK1" s="110"/>
      <c r="BL1" s="117" t="str" cm="1">
        <f t="array" aca="1" ref="BL1" ca="1">INDIRECT("'盛付札（関数）'!CL"&amp;BI1)</f>
        <v/>
      </c>
      <c r="BM1" s="117"/>
      <c r="BN1" s="117"/>
      <c r="BO1" s="118"/>
      <c r="BP1" s="75">
        <f>BI1+1</f>
        <v>50</v>
      </c>
      <c r="BQ1" s="109" t="str">
        <f ca="1">IF(BS1&lt;&gt;"",MID(貼り付け用!$A$2, FIND("年",貼り付け用!$A$2)+1, LEN(貼り付け用!$A$2)-FIND("年",貼り付け用!$A$2)),"")</f>
        <v/>
      </c>
      <c r="BR1" s="110"/>
      <c r="BS1" s="117" t="str" cm="1">
        <f t="array" aca="1" ref="BS1" ca="1">INDIRECT("'盛付札（関数）'!CL"&amp;BP1)</f>
        <v/>
      </c>
      <c r="BT1" s="117"/>
      <c r="BU1" s="117"/>
      <c r="BV1" s="118"/>
      <c r="BW1" s="53"/>
    </row>
    <row r="2" spans="1:75" s="77" customFormat="1" ht="18" customHeight="1" x14ac:dyDescent="0.55000000000000004">
      <c r="A2" s="53"/>
      <c r="B2" s="78"/>
      <c r="C2" s="79" t="str" cm="1">
        <f t="array" aca="1" ref="C2" ca="1">INDIRECT("'盛付札（関数）'!CM"&amp;A1)</f>
        <v/>
      </c>
      <c r="D2" s="53"/>
      <c r="E2" s="53"/>
      <c r="F2" s="80" t="str" cm="1">
        <f t="array" aca="1" ref="F2" ca="1">IF(INDIRECT("'盛付札（関数）'!CN"&amp;A1)&lt;&gt;"",
INDIRECT("'盛付札（関数）'!CN"&amp;A1),INDIRECT("'盛付札（関数）'!CO"&amp;A1))</f>
        <v/>
      </c>
      <c r="G2" s="111"/>
      <c r="H2" s="75"/>
      <c r="I2" s="78"/>
      <c r="J2" s="79" t="str" cm="1">
        <f t="array" aca="1" ref="J2" ca="1">INDIRECT("'盛付札（関数）'!CM"&amp;H1)</f>
        <v/>
      </c>
      <c r="K2" s="53"/>
      <c r="L2" s="53"/>
      <c r="M2" s="80" t="str" cm="1">
        <f t="array" aca="1" ref="M2" ca="1">IF(INDIRECT("'盛付札（関数）'!CN"&amp;H1)&lt;&gt;"",
INDIRECT("'盛付札（関数）'!CN"&amp;H1),INDIRECT("'盛付札（関数）'!CO"&amp;H1))</f>
        <v/>
      </c>
      <c r="N2" s="111"/>
      <c r="O2" s="53"/>
      <c r="P2" s="53"/>
      <c r="Q2" s="78"/>
      <c r="R2" s="79" t="str" cm="1">
        <f t="array" aca="1" ref="R2" ca="1">INDIRECT("'盛付札（関数）'!CM"&amp;P1)</f>
        <v/>
      </c>
      <c r="S2" s="53"/>
      <c r="T2" s="53"/>
      <c r="U2" s="80" t="str" cm="1">
        <f t="array" aca="1" ref="U2" ca="1">IF(INDIRECT("'盛付札（関数）'!CN"&amp;P1)&lt;&gt;"",
INDIRECT("'盛付札（関数）'!CN"&amp;P1),INDIRECT("'盛付札（関数）'!CO"&amp;P1))</f>
        <v/>
      </c>
      <c r="V2" s="111"/>
      <c r="W2" s="75"/>
      <c r="X2" s="78"/>
      <c r="Y2" s="79" t="str" cm="1">
        <f t="array" aca="1" ref="Y2" ca="1">INDIRECT("'盛付札（関数）'!CM"&amp;W1)</f>
        <v/>
      </c>
      <c r="Z2" s="53"/>
      <c r="AA2" s="53"/>
      <c r="AB2" s="80" t="str" cm="1">
        <f t="array" aca="1" ref="AB2" ca="1">IF(INDIRECT("'盛付札（関数）'!CN"&amp;W1)&lt;&gt;"",
INDIRECT("'盛付札（関数）'!CN"&amp;W1),INDIRECT("'盛付札（関数）'!CO"&amp;W1))</f>
        <v/>
      </c>
      <c r="AC2" s="111"/>
      <c r="AD2" s="53"/>
      <c r="AE2" s="53"/>
      <c r="AF2" s="78"/>
      <c r="AG2" s="79" t="str" cm="1">
        <f t="array" aca="1" ref="AG2" ca="1">INDIRECT("'盛付札（関数）'!CM"&amp;AE1)</f>
        <v/>
      </c>
      <c r="AH2" s="53"/>
      <c r="AI2" s="53"/>
      <c r="AJ2" s="80" t="str" cm="1">
        <f t="array" aca="1" ref="AJ2" ca="1">IF(INDIRECT("'盛付札（関数）'!CN"&amp;AE1)&lt;&gt;"",
INDIRECT("'盛付札（関数）'!CN"&amp;AE1),INDIRECT("'盛付札（関数）'!CO"&amp;AE1))</f>
        <v/>
      </c>
      <c r="AK2" s="111"/>
      <c r="AL2" s="75"/>
      <c r="AM2" s="78"/>
      <c r="AN2" s="79" t="str" cm="1">
        <f t="array" aca="1" ref="AN2" ca="1">INDIRECT("'盛付札（関数）'!CM"&amp;AL1)</f>
        <v/>
      </c>
      <c r="AO2" s="53"/>
      <c r="AP2" s="53"/>
      <c r="AQ2" s="80" t="str" cm="1">
        <f t="array" aca="1" ref="AQ2" ca="1">IF(INDIRECT("'盛付札（関数）'!CN"&amp;AL1)&lt;&gt;"",
INDIRECT("'盛付札（関数）'!CN"&amp;AL1),INDIRECT("'盛付札（関数）'!CO"&amp;AL1))</f>
        <v/>
      </c>
      <c r="AR2" s="111"/>
      <c r="AS2" s="53"/>
      <c r="AT2" s="53"/>
      <c r="AU2" s="78"/>
      <c r="AV2" s="79" t="str" cm="1">
        <f t="array" aca="1" ref="AV2" ca="1">INDIRECT("'盛付札（関数）'!CM"&amp;AT1)</f>
        <v/>
      </c>
      <c r="AW2" s="53"/>
      <c r="AX2" s="53"/>
      <c r="AY2" s="80" t="str" cm="1">
        <f t="array" aca="1" ref="AY2" ca="1">IF(INDIRECT("'盛付札（関数）'!CN"&amp;AT1)&lt;&gt;"",
INDIRECT("'盛付札（関数）'!CN"&amp;AT1),INDIRECT("'盛付札（関数）'!CO"&amp;AT1))</f>
        <v/>
      </c>
      <c r="AZ2" s="111"/>
      <c r="BA2" s="75"/>
      <c r="BB2" s="78"/>
      <c r="BC2" s="79" t="str" cm="1">
        <f t="array" aca="1" ref="BC2" ca="1">INDIRECT("'盛付札（関数）'!CM"&amp;BA1)</f>
        <v/>
      </c>
      <c r="BD2" s="53"/>
      <c r="BE2" s="53"/>
      <c r="BF2" s="80" t="str" cm="1">
        <f t="array" aca="1" ref="BF2" ca="1">IF(INDIRECT("'盛付札（関数）'!CN"&amp;BA1)&lt;&gt;"",
INDIRECT("'盛付札（関数）'!CN"&amp;BA1),INDIRECT("'盛付札（関数）'!CO"&amp;BA1))</f>
        <v/>
      </c>
      <c r="BG2" s="111"/>
      <c r="BH2" s="53"/>
      <c r="BI2" s="53"/>
      <c r="BJ2" s="78"/>
      <c r="BK2" s="79" t="str" cm="1">
        <f t="array" aca="1" ref="BK2" ca="1">INDIRECT("'盛付札（関数）'!CM"&amp;BI1)</f>
        <v/>
      </c>
      <c r="BL2" s="53"/>
      <c r="BM2" s="53"/>
      <c r="BN2" s="80" t="str" cm="1">
        <f t="array" aca="1" ref="BN2" ca="1">IF(INDIRECT("'盛付札（関数）'!CN"&amp;BI1)&lt;&gt;"",
INDIRECT("'盛付札（関数）'!CN"&amp;BI1),INDIRECT("'盛付札（関数）'!CO"&amp;BI1))</f>
        <v/>
      </c>
      <c r="BO2" s="111"/>
      <c r="BP2" s="75"/>
      <c r="BQ2" s="78"/>
      <c r="BR2" s="79" t="str" cm="1">
        <f t="array" aca="1" ref="BR2" ca="1">INDIRECT("'盛付札（関数）'!CM"&amp;BP1)</f>
        <v/>
      </c>
      <c r="BS2" s="53"/>
      <c r="BT2" s="53"/>
      <c r="BU2" s="80" t="str" cm="1">
        <f t="array" aca="1" ref="BU2" ca="1">IF(INDIRECT("'盛付札（関数）'!CN"&amp;BP1)&lt;&gt;"",
INDIRECT("'盛付札（関数）'!CN"&amp;BP1),INDIRECT("'盛付札（関数）'!CO"&amp;BP1))</f>
        <v/>
      </c>
      <c r="BV2" s="111"/>
      <c r="BW2" s="53"/>
    </row>
    <row r="3" spans="1:75" s="77" customFormat="1" x14ac:dyDescent="0.55000000000000004">
      <c r="A3" s="53"/>
      <c r="B3" s="81"/>
      <c r="C3" s="86" t="str">
        <f ca="1">IF(D1&lt;&gt;"","園児","")</f>
        <v/>
      </c>
      <c r="D3" s="87"/>
      <c r="E3" s="86" t="str">
        <f ca="1">IF(D1&lt;&gt;"","先生","")</f>
        <v/>
      </c>
      <c r="F3" s="87"/>
      <c r="G3" s="112"/>
      <c r="H3" s="83"/>
      <c r="I3" s="81"/>
      <c r="J3" s="86" t="str">
        <f ca="1">IF(K1&lt;&gt;"","園児","")</f>
        <v/>
      </c>
      <c r="K3" s="87"/>
      <c r="L3" s="86" t="str">
        <f ca="1">IF(K1&lt;&gt;"","先生","")</f>
        <v/>
      </c>
      <c r="M3" s="87"/>
      <c r="N3" s="112"/>
      <c r="O3" s="53"/>
      <c r="P3" s="53"/>
      <c r="Q3" s="81"/>
      <c r="R3" s="86" t="str">
        <f ca="1">IF(S1&lt;&gt;"","園児","")</f>
        <v/>
      </c>
      <c r="S3" s="87"/>
      <c r="T3" s="86" t="str">
        <f ca="1">IF(S1&lt;&gt;"","先生","")</f>
        <v/>
      </c>
      <c r="U3" s="87"/>
      <c r="V3" s="112"/>
      <c r="W3" s="83"/>
      <c r="X3" s="81"/>
      <c r="Y3" s="86" t="str">
        <f ca="1">IF(Z1&lt;&gt;"","園児","")</f>
        <v/>
      </c>
      <c r="Z3" s="87"/>
      <c r="AA3" s="86" t="str">
        <f ca="1">IF(Z1&lt;&gt;"","先生","")</f>
        <v/>
      </c>
      <c r="AB3" s="87"/>
      <c r="AC3" s="112"/>
      <c r="AD3" s="53"/>
      <c r="AE3" s="53"/>
      <c r="AF3" s="81"/>
      <c r="AG3" s="86" t="str">
        <f ca="1">IF(AH1&lt;&gt;"","園児","")</f>
        <v/>
      </c>
      <c r="AH3" s="87"/>
      <c r="AI3" s="86" t="str">
        <f ca="1">IF(AH1&lt;&gt;"","先生","")</f>
        <v/>
      </c>
      <c r="AJ3" s="87"/>
      <c r="AK3" s="112"/>
      <c r="AL3" s="83"/>
      <c r="AM3" s="81"/>
      <c r="AN3" s="86" t="str">
        <f ca="1">IF(AO1&lt;&gt;"","園児","")</f>
        <v/>
      </c>
      <c r="AO3" s="87"/>
      <c r="AP3" s="86" t="str">
        <f ca="1">IF(AO1&lt;&gt;"","先生","")</f>
        <v/>
      </c>
      <c r="AQ3" s="87"/>
      <c r="AR3" s="112"/>
      <c r="AS3" s="53"/>
      <c r="AT3" s="53"/>
      <c r="AU3" s="81"/>
      <c r="AV3" s="86" t="str">
        <f ca="1">IF(AW1&lt;&gt;"","園児","")</f>
        <v/>
      </c>
      <c r="AW3" s="87"/>
      <c r="AX3" s="86" t="str">
        <f ca="1">IF(AW1&lt;&gt;"","先生","")</f>
        <v/>
      </c>
      <c r="AY3" s="87"/>
      <c r="AZ3" s="112"/>
      <c r="BA3" s="83"/>
      <c r="BB3" s="81"/>
      <c r="BC3" s="86" t="str">
        <f ca="1">IF(BD1&lt;&gt;"","園児","")</f>
        <v/>
      </c>
      <c r="BD3" s="87"/>
      <c r="BE3" s="86" t="str">
        <f ca="1">IF(BD1&lt;&gt;"","先生","")</f>
        <v/>
      </c>
      <c r="BF3" s="87"/>
      <c r="BG3" s="112"/>
      <c r="BH3" s="53"/>
      <c r="BI3" s="53"/>
      <c r="BJ3" s="81"/>
      <c r="BK3" s="86" t="str">
        <f ca="1">IF(BL1&lt;&gt;"","園児","")</f>
        <v/>
      </c>
      <c r="BL3" s="87"/>
      <c r="BM3" s="86" t="str">
        <f ca="1">IF(BL1&lt;&gt;"","先生","")</f>
        <v/>
      </c>
      <c r="BN3" s="87"/>
      <c r="BO3" s="112"/>
      <c r="BP3" s="83"/>
      <c r="BQ3" s="81"/>
      <c r="BR3" s="86" t="str">
        <f ca="1">IF(BS1&lt;&gt;"","園児","")</f>
        <v/>
      </c>
      <c r="BS3" s="87"/>
      <c r="BT3" s="86" t="str">
        <f ca="1">IF(BS1&lt;&gt;"","先生","")</f>
        <v/>
      </c>
      <c r="BU3" s="87"/>
      <c r="BV3" s="112"/>
      <c r="BW3" s="53"/>
    </row>
    <row r="4" spans="1:75" ht="18" customHeight="1" x14ac:dyDescent="1.05">
      <c r="B4" s="57"/>
      <c r="C4" s="90" t="str" cm="1">
        <f t="array" aca="1" ref="C4" ca="1">INDIRECT("'盛付札（関数）'!CP"&amp;A1)</f>
        <v/>
      </c>
      <c r="D4" s="91"/>
      <c r="E4" s="93" t="str" cm="1">
        <f t="array" aca="1" ref="E4" ca="1">INDIRECT("'盛付札（関数）'!CQ"&amp;A1)</f>
        <v/>
      </c>
      <c r="F4" s="91"/>
      <c r="G4" s="112"/>
      <c r="H4" s="58"/>
      <c r="I4" s="57"/>
      <c r="J4" s="90" t="str" cm="1">
        <f t="array" aca="1" ref="J4" ca="1">INDIRECT("'盛付札（関数）'!CP"&amp;H1)</f>
        <v/>
      </c>
      <c r="K4" s="91"/>
      <c r="L4" s="93" t="str" cm="1">
        <f t="array" aca="1" ref="L4" ca="1">INDIRECT("'盛付札（関数）'!CQ"&amp;H1)</f>
        <v/>
      </c>
      <c r="M4" s="91"/>
      <c r="N4" s="112"/>
      <c r="Q4" s="57"/>
      <c r="R4" s="90" t="str" cm="1">
        <f t="array" aca="1" ref="R4" ca="1">INDIRECT("'盛付札（関数）'!CP"&amp;P1)</f>
        <v/>
      </c>
      <c r="S4" s="91"/>
      <c r="T4" s="93" t="str" cm="1">
        <f t="array" aca="1" ref="T4" ca="1">INDIRECT("'盛付札（関数）'!CQ"&amp;P1)</f>
        <v/>
      </c>
      <c r="U4" s="91"/>
      <c r="V4" s="112"/>
      <c r="W4" s="58"/>
      <c r="X4" s="57"/>
      <c r="Y4" s="90" t="str" cm="1">
        <f t="array" aca="1" ref="Y4" ca="1">INDIRECT("'盛付札（関数）'!CP"&amp;W1)</f>
        <v/>
      </c>
      <c r="Z4" s="91"/>
      <c r="AA4" s="93" t="str" cm="1">
        <f t="array" aca="1" ref="AA4" ca="1">INDIRECT("'盛付札（関数）'!CQ"&amp;W1)</f>
        <v/>
      </c>
      <c r="AB4" s="91"/>
      <c r="AC4" s="112"/>
      <c r="AF4" s="57"/>
      <c r="AG4" s="90" t="str" cm="1">
        <f t="array" aca="1" ref="AG4" ca="1">INDIRECT("'盛付札（関数）'!CP"&amp;AE1)</f>
        <v/>
      </c>
      <c r="AH4" s="91"/>
      <c r="AI4" s="93" t="str" cm="1">
        <f t="array" aca="1" ref="AI4" ca="1">INDIRECT("'盛付札（関数）'!CQ"&amp;AE1)</f>
        <v/>
      </c>
      <c r="AJ4" s="91"/>
      <c r="AK4" s="112"/>
      <c r="AL4" s="58"/>
      <c r="AM4" s="57"/>
      <c r="AN4" s="90" t="str" cm="1">
        <f t="array" aca="1" ref="AN4" ca="1">INDIRECT("'盛付札（関数）'!CP"&amp;AL1)</f>
        <v/>
      </c>
      <c r="AO4" s="91"/>
      <c r="AP4" s="93" t="str" cm="1">
        <f t="array" aca="1" ref="AP4" ca="1">INDIRECT("'盛付札（関数）'!CQ"&amp;AL1)</f>
        <v/>
      </c>
      <c r="AQ4" s="91"/>
      <c r="AR4" s="112"/>
      <c r="AU4" s="57"/>
      <c r="AV4" s="90" t="str" cm="1">
        <f t="array" aca="1" ref="AV4" ca="1">INDIRECT("'盛付札（関数）'!CP"&amp;AT1)</f>
        <v/>
      </c>
      <c r="AW4" s="91"/>
      <c r="AX4" s="93" t="str" cm="1">
        <f t="array" aca="1" ref="AX4" ca="1">INDIRECT("'盛付札（関数）'!CQ"&amp;AT1)</f>
        <v/>
      </c>
      <c r="AY4" s="91"/>
      <c r="AZ4" s="112"/>
      <c r="BA4" s="58"/>
      <c r="BB4" s="57"/>
      <c r="BC4" s="90" t="str" cm="1">
        <f t="array" aca="1" ref="BC4" ca="1">INDIRECT("'盛付札（関数）'!CP"&amp;BA1)</f>
        <v/>
      </c>
      <c r="BD4" s="91"/>
      <c r="BE4" s="93" t="str" cm="1">
        <f t="array" aca="1" ref="BE4" ca="1">INDIRECT("'盛付札（関数）'!CQ"&amp;BA1)</f>
        <v/>
      </c>
      <c r="BF4" s="91"/>
      <c r="BG4" s="112"/>
      <c r="BJ4" s="57"/>
      <c r="BK4" s="90" t="str" cm="1">
        <f t="array" aca="1" ref="BK4" ca="1">INDIRECT("'盛付札（関数）'!CP"&amp;BI1)</f>
        <v/>
      </c>
      <c r="BL4" s="91"/>
      <c r="BM4" s="93" t="str" cm="1">
        <f t="array" aca="1" ref="BM4" ca="1">INDIRECT("'盛付札（関数）'!CQ"&amp;BI1)</f>
        <v/>
      </c>
      <c r="BN4" s="91"/>
      <c r="BO4" s="112"/>
      <c r="BP4" s="58"/>
      <c r="BQ4" s="57"/>
      <c r="BR4" s="90" t="str" cm="1">
        <f t="array" aca="1" ref="BR4" ca="1">INDIRECT("'盛付札（関数）'!CP"&amp;BP1)</f>
        <v/>
      </c>
      <c r="BS4" s="91"/>
      <c r="BT4" s="93" t="str" cm="1">
        <f t="array" aca="1" ref="BT4" ca="1">INDIRECT("'盛付札（関数）'!CQ"&amp;BP1)</f>
        <v/>
      </c>
      <c r="BU4" s="91"/>
      <c r="BV4" s="112"/>
    </row>
    <row r="5" spans="1:75" ht="18" customHeight="1" x14ac:dyDescent="0.45">
      <c r="B5" s="59"/>
      <c r="C5" s="92"/>
      <c r="D5" s="92"/>
      <c r="E5" s="92"/>
      <c r="F5" s="92"/>
      <c r="G5" s="113"/>
      <c r="H5" s="58"/>
      <c r="I5" s="59"/>
      <c r="J5" s="92"/>
      <c r="K5" s="92"/>
      <c r="L5" s="92"/>
      <c r="M5" s="92"/>
      <c r="N5" s="113"/>
      <c r="Q5" s="59"/>
      <c r="R5" s="92"/>
      <c r="S5" s="92"/>
      <c r="T5" s="92"/>
      <c r="U5" s="92"/>
      <c r="V5" s="113"/>
      <c r="W5" s="58"/>
      <c r="X5" s="59"/>
      <c r="Y5" s="92"/>
      <c r="Z5" s="92"/>
      <c r="AA5" s="92"/>
      <c r="AB5" s="92"/>
      <c r="AC5" s="113"/>
      <c r="AF5" s="59"/>
      <c r="AG5" s="92"/>
      <c r="AH5" s="92"/>
      <c r="AI5" s="92"/>
      <c r="AJ5" s="92"/>
      <c r="AK5" s="113"/>
      <c r="AL5" s="58"/>
      <c r="AM5" s="59"/>
      <c r="AN5" s="92"/>
      <c r="AO5" s="92"/>
      <c r="AP5" s="92"/>
      <c r="AQ5" s="92"/>
      <c r="AR5" s="113"/>
      <c r="AU5" s="59"/>
      <c r="AV5" s="92"/>
      <c r="AW5" s="92"/>
      <c r="AX5" s="92"/>
      <c r="AY5" s="92"/>
      <c r="AZ5" s="113"/>
      <c r="BA5" s="58"/>
      <c r="BB5" s="59"/>
      <c r="BC5" s="92"/>
      <c r="BD5" s="92"/>
      <c r="BE5" s="92"/>
      <c r="BF5" s="92"/>
      <c r="BG5" s="113"/>
      <c r="BJ5" s="59"/>
      <c r="BK5" s="92"/>
      <c r="BL5" s="92"/>
      <c r="BM5" s="92"/>
      <c r="BN5" s="92"/>
      <c r="BO5" s="113"/>
      <c r="BP5" s="58"/>
      <c r="BQ5" s="59"/>
      <c r="BR5" s="92"/>
      <c r="BS5" s="92"/>
      <c r="BT5" s="92"/>
      <c r="BU5" s="92"/>
      <c r="BV5" s="113"/>
    </row>
    <row r="6" spans="1:75" s="77" customFormat="1" x14ac:dyDescent="0.55000000000000004">
      <c r="A6" s="53"/>
      <c r="B6" s="84" t="str">
        <f ca="1">IF(D1&lt;&gt;"","パン箱","")</f>
        <v/>
      </c>
      <c r="C6" s="82" t="str" cm="1">
        <f t="array" aca="1" ref="C6" ca="1">INDIRECT("'盛付札（関数）'!CR"&amp;A1)</f>
        <v/>
      </c>
      <c r="D6" s="84" t="str">
        <f ca="1">IF(D1&lt;&gt;"","端数","")</f>
        <v/>
      </c>
      <c r="E6" s="82"/>
      <c r="F6" s="84" t="str">
        <f ca="1">IF(D1&lt;&gt;"","アレルギー","")</f>
        <v/>
      </c>
      <c r="G6" s="112"/>
      <c r="H6" s="53"/>
      <c r="I6" s="84" t="str">
        <f ca="1">IF(K1&lt;&gt;"","パン箱","")</f>
        <v/>
      </c>
      <c r="J6" s="82" t="str" cm="1">
        <f t="array" aca="1" ref="J6" ca="1">INDIRECT("'盛付札（関数）'!CR"&amp;H1)</f>
        <v/>
      </c>
      <c r="K6" s="84" t="str">
        <f ca="1">IF(K1&lt;&gt;"","端数","")</f>
        <v/>
      </c>
      <c r="L6" s="82"/>
      <c r="M6" s="84" t="str">
        <f ca="1">IF(K1&lt;&gt;"","アレルギー","")</f>
        <v/>
      </c>
      <c r="N6" s="112"/>
      <c r="O6" s="53"/>
      <c r="P6" s="53"/>
      <c r="Q6" s="84" t="str">
        <f ca="1">IF(S1&lt;&gt;"","パン箱","")</f>
        <v/>
      </c>
      <c r="R6" s="82" t="str" cm="1">
        <f t="array" aca="1" ref="R6" ca="1">INDIRECT("'盛付札（関数）'!CR"&amp;P1)</f>
        <v/>
      </c>
      <c r="S6" s="84" t="str">
        <f ca="1">IF(S1&lt;&gt;"","端数","")</f>
        <v/>
      </c>
      <c r="T6" s="82"/>
      <c r="U6" s="84" t="str">
        <f ca="1">IF(S1&lt;&gt;"","アレルギー","")</f>
        <v/>
      </c>
      <c r="V6" s="112"/>
      <c r="W6" s="53"/>
      <c r="X6" s="84" t="str">
        <f ca="1">IF(Z1&lt;&gt;"","パン箱","")</f>
        <v/>
      </c>
      <c r="Y6" s="82" t="str" cm="1">
        <f t="array" aca="1" ref="Y6" ca="1">INDIRECT("'盛付札（関数）'!CR"&amp;W1)</f>
        <v/>
      </c>
      <c r="Z6" s="84" t="str">
        <f ca="1">IF(Z1&lt;&gt;"","端数","")</f>
        <v/>
      </c>
      <c r="AA6" s="82"/>
      <c r="AB6" s="84" t="str">
        <f ca="1">IF(Z1&lt;&gt;"","アレルギー","")</f>
        <v/>
      </c>
      <c r="AC6" s="112"/>
      <c r="AD6" s="53"/>
      <c r="AE6" s="53"/>
      <c r="AF6" s="84" t="str">
        <f ca="1">IF(AH1&lt;&gt;"","パン箱","")</f>
        <v/>
      </c>
      <c r="AG6" s="82" t="str" cm="1">
        <f t="array" aca="1" ref="AG6" ca="1">INDIRECT("'盛付札（関数）'!CR"&amp;AE1)</f>
        <v/>
      </c>
      <c r="AH6" s="84" t="str">
        <f ca="1">IF(AH1&lt;&gt;"","端数","")</f>
        <v/>
      </c>
      <c r="AI6" s="82"/>
      <c r="AJ6" s="84" t="str">
        <f ca="1">IF(AH1&lt;&gt;"","アレルギー","")</f>
        <v/>
      </c>
      <c r="AK6" s="112"/>
      <c r="AL6" s="53"/>
      <c r="AM6" s="84" t="str">
        <f ca="1">IF(AO1&lt;&gt;"","パン箱","")</f>
        <v/>
      </c>
      <c r="AN6" s="82" t="str" cm="1">
        <f t="array" aca="1" ref="AN6" ca="1">INDIRECT("'盛付札（関数）'!CR"&amp;AL1)</f>
        <v/>
      </c>
      <c r="AO6" s="84" t="str">
        <f ca="1">IF(AO1&lt;&gt;"","端数","")</f>
        <v/>
      </c>
      <c r="AP6" s="82"/>
      <c r="AQ6" s="84" t="str">
        <f ca="1">IF(AO1&lt;&gt;"","アレルギー","")</f>
        <v/>
      </c>
      <c r="AR6" s="112"/>
      <c r="AS6" s="53"/>
      <c r="AT6" s="53"/>
      <c r="AU6" s="84" t="str">
        <f ca="1">IF(AW1&lt;&gt;"","パン箱","")</f>
        <v/>
      </c>
      <c r="AV6" s="82" t="str" cm="1">
        <f t="array" aca="1" ref="AV6" ca="1">INDIRECT("'盛付札（関数）'!CR"&amp;AT1)</f>
        <v/>
      </c>
      <c r="AW6" s="84" t="str">
        <f ca="1">IF(AW1&lt;&gt;"","端数","")</f>
        <v/>
      </c>
      <c r="AX6" s="82"/>
      <c r="AY6" s="84" t="str">
        <f ca="1">IF(AW1&lt;&gt;"","アレルギー","")</f>
        <v/>
      </c>
      <c r="AZ6" s="112"/>
      <c r="BA6" s="53"/>
      <c r="BB6" s="84" t="str">
        <f ca="1">IF(BD1&lt;&gt;"","パン箱","")</f>
        <v/>
      </c>
      <c r="BC6" s="82" t="str" cm="1">
        <f t="array" aca="1" ref="BC6" ca="1">INDIRECT("'盛付札（関数）'!CR"&amp;BA1)</f>
        <v/>
      </c>
      <c r="BD6" s="84" t="str">
        <f ca="1">IF(BD1&lt;&gt;"","端数","")</f>
        <v/>
      </c>
      <c r="BE6" s="82"/>
      <c r="BF6" s="84" t="str">
        <f ca="1">IF(BD1&lt;&gt;"","アレルギー","")</f>
        <v/>
      </c>
      <c r="BG6" s="112"/>
      <c r="BH6" s="53"/>
      <c r="BI6" s="53"/>
      <c r="BJ6" s="84" t="str">
        <f ca="1">IF(BL1&lt;&gt;"","パン箱","")</f>
        <v/>
      </c>
      <c r="BK6" s="82" t="str" cm="1">
        <f t="array" aca="1" ref="BK6" ca="1">INDIRECT("'盛付札（関数）'!CR"&amp;BI1)</f>
        <v/>
      </c>
      <c r="BL6" s="84" t="str">
        <f ca="1">IF(BL1&lt;&gt;"","端数","")</f>
        <v/>
      </c>
      <c r="BM6" s="82"/>
      <c r="BN6" s="84" t="str">
        <f ca="1">IF(BL1&lt;&gt;"","アレルギー","")</f>
        <v/>
      </c>
      <c r="BO6" s="112"/>
      <c r="BP6" s="53"/>
      <c r="BQ6" s="84" t="str">
        <f ca="1">IF(BS1&lt;&gt;"","パン箱","")</f>
        <v/>
      </c>
      <c r="BR6" s="82" t="str" cm="1">
        <f t="array" aca="1" ref="BR6" ca="1">INDIRECT("'盛付札（関数）'!CR"&amp;BP1)</f>
        <v/>
      </c>
      <c r="BS6" s="84" t="str">
        <f ca="1">IF(BS1&lt;&gt;"","端数","")</f>
        <v/>
      </c>
      <c r="BT6" s="82"/>
      <c r="BU6" s="84" t="str">
        <f ca="1">IF(BS1&lt;&gt;"","アレルギー","")</f>
        <v/>
      </c>
      <c r="BV6" s="112"/>
      <c r="BW6" s="53"/>
    </row>
    <row r="7" spans="1:75" ht="21" customHeight="1" x14ac:dyDescent="0.45">
      <c r="B7" s="97" t="str" cm="1">
        <f t="array" aca="1" ref="B7" ca="1">INDIRECT("'盛付札（関数）'!CS"&amp;A1)</f>
        <v/>
      </c>
      <c r="C7" s="95"/>
      <c r="D7" s="97" t="str" cm="1">
        <f t="array" aca="1" ref="D7" ca="1">INDIRECT("'盛付札（関数）'!CT"&amp;A1)</f>
        <v/>
      </c>
      <c r="E7" s="95"/>
      <c r="F7" s="94" t="str" cm="1">
        <f t="array" aca="1" ref="F7" ca="1">INDIRECT("'盛付札（関数）'!CU"&amp;A1)</f>
        <v/>
      </c>
      <c r="G7" s="95"/>
      <c r="I7" s="97" t="str" cm="1">
        <f t="array" aca="1" ref="I7" ca="1">INDIRECT("'盛付札（関数）'!CS"&amp;H1)</f>
        <v/>
      </c>
      <c r="J7" s="95"/>
      <c r="K7" s="97" t="str" cm="1">
        <f t="array" aca="1" ref="K7" ca="1">INDIRECT("'盛付札（関数）'!CT"&amp;H1)</f>
        <v/>
      </c>
      <c r="L7" s="95"/>
      <c r="M7" s="94" t="str" cm="1">
        <f t="array" aca="1" ref="M7" ca="1">INDIRECT("'盛付札（関数）'!CU"&amp;H1)</f>
        <v/>
      </c>
      <c r="N7" s="95"/>
      <c r="Q7" s="97" t="str" cm="1">
        <f t="array" aca="1" ref="Q7" ca="1">INDIRECT("'盛付札（関数）'!CS"&amp;P1)</f>
        <v/>
      </c>
      <c r="R7" s="95"/>
      <c r="S7" s="97" t="str" cm="1">
        <f t="array" aca="1" ref="S7" ca="1">INDIRECT("'盛付札（関数）'!CT"&amp;P1)</f>
        <v/>
      </c>
      <c r="T7" s="95"/>
      <c r="U7" s="94" t="str" cm="1">
        <f t="array" aca="1" ref="U7" ca="1">INDIRECT("'盛付札（関数）'!CU"&amp;P1)</f>
        <v/>
      </c>
      <c r="V7" s="95"/>
      <c r="X7" s="97" t="str" cm="1">
        <f t="array" aca="1" ref="X7" ca="1">INDIRECT("'盛付札（関数）'!CS"&amp;W1)</f>
        <v/>
      </c>
      <c r="Y7" s="95"/>
      <c r="Z7" s="97" t="str" cm="1">
        <f t="array" aca="1" ref="Z7" ca="1">INDIRECT("'盛付札（関数）'!CT"&amp;W1)</f>
        <v/>
      </c>
      <c r="AA7" s="95"/>
      <c r="AB7" s="94" t="str" cm="1">
        <f t="array" aca="1" ref="AB7" ca="1">INDIRECT("'盛付札（関数）'!CU"&amp;W1)</f>
        <v/>
      </c>
      <c r="AC7" s="95"/>
      <c r="AF7" s="97" t="str" cm="1">
        <f t="array" aca="1" ref="AF7" ca="1">INDIRECT("'盛付札（関数）'!CS"&amp;AE1)</f>
        <v/>
      </c>
      <c r="AG7" s="95"/>
      <c r="AH7" s="97" t="str" cm="1">
        <f t="array" aca="1" ref="AH7" ca="1">INDIRECT("'盛付札（関数）'!CT"&amp;AE1)</f>
        <v/>
      </c>
      <c r="AI7" s="95"/>
      <c r="AJ7" s="94" t="str" cm="1">
        <f t="array" aca="1" ref="AJ7" ca="1">INDIRECT("'盛付札（関数）'!CU"&amp;AE1)</f>
        <v/>
      </c>
      <c r="AK7" s="95"/>
      <c r="AM7" s="97" t="str" cm="1">
        <f t="array" aca="1" ref="AM7" ca="1">INDIRECT("'盛付札（関数）'!CS"&amp;AL1)</f>
        <v/>
      </c>
      <c r="AN7" s="95"/>
      <c r="AO7" s="97" t="str" cm="1">
        <f t="array" aca="1" ref="AO7" ca="1">INDIRECT("'盛付札（関数）'!CT"&amp;AL1)</f>
        <v/>
      </c>
      <c r="AP7" s="95"/>
      <c r="AQ7" s="94" t="str" cm="1">
        <f t="array" aca="1" ref="AQ7" ca="1">INDIRECT("'盛付札（関数）'!CU"&amp;AL1)</f>
        <v/>
      </c>
      <c r="AR7" s="95"/>
      <c r="AU7" s="97" t="str" cm="1">
        <f t="array" aca="1" ref="AU7" ca="1">INDIRECT("'盛付札（関数）'!CS"&amp;AT1)</f>
        <v/>
      </c>
      <c r="AV7" s="95"/>
      <c r="AW7" s="97" t="str" cm="1">
        <f t="array" aca="1" ref="AW7" ca="1">INDIRECT("'盛付札（関数）'!CT"&amp;AT1)</f>
        <v/>
      </c>
      <c r="AX7" s="95"/>
      <c r="AY7" s="94" t="str" cm="1">
        <f t="array" aca="1" ref="AY7" ca="1">INDIRECT("'盛付札（関数）'!CU"&amp;AT1)</f>
        <v/>
      </c>
      <c r="AZ7" s="95"/>
      <c r="BB7" s="97" t="str" cm="1">
        <f t="array" aca="1" ref="BB7" ca="1">INDIRECT("'盛付札（関数）'!CS"&amp;BA1)</f>
        <v/>
      </c>
      <c r="BC7" s="95"/>
      <c r="BD7" s="97" t="str" cm="1">
        <f t="array" aca="1" ref="BD7" ca="1">INDIRECT("'盛付札（関数）'!CT"&amp;BA1)</f>
        <v/>
      </c>
      <c r="BE7" s="95"/>
      <c r="BF7" s="94" t="str" cm="1">
        <f t="array" aca="1" ref="BF7" ca="1">INDIRECT("'盛付札（関数）'!CU"&amp;BA1)</f>
        <v/>
      </c>
      <c r="BG7" s="95"/>
      <c r="BJ7" s="97" t="str" cm="1">
        <f t="array" aca="1" ref="BJ7" ca="1">INDIRECT("'盛付札（関数）'!CS"&amp;BI1)</f>
        <v/>
      </c>
      <c r="BK7" s="95"/>
      <c r="BL7" s="97" t="str" cm="1">
        <f t="array" aca="1" ref="BL7" ca="1">INDIRECT("'盛付札（関数）'!CT"&amp;BI1)</f>
        <v/>
      </c>
      <c r="BM7" s="95"/>
      <c r="BN7" s="94" t="str" cm="1">
        <f t="array" aca="1" ref="BN7" ca="1">INDIRECT("'盛付札（関数）'!CU"&amp;BI1)</f>
        <v/>
      </c>
      <c r="BO7" s="95"/>
      <c r="BQ7" s="97" t="str" cm="1">
        <f t="array" aca="1" ref="BQ7" ca="1">INDIRECT("'盛付札（関数）'!CS"&amp;BP1)</f>
        <v/>
      </c>
      <c r="BR7" s="95"/>
      <c r="BS7" s="97" t="str" cm="1">
        <f t="array" aca="1" ref="BS7" ca="1">INDIRECT("'盛付札（関数）'!CT"&amp;BP1)</f>
        <v/>
      </c>
      <c r="BT7" s="95"/>
      <c r="BU7" s="94" t="str" cm="1">
        <f t="array" aca="1" ref="BU7" ca="1">INDIRECT("'盛付札（関数）'!CU"&amp;BP1)</f>
        <v/>
      </c>
      <c r="BV7" s="95"/>
    </row>
    <row r="8" spans="1:75" s="77" customFormat="1" ht="18" customHeight="1" x14ac:dyDescent="0.55000000000000004">
      <c r="A8" s="75">
        <f>H1+1</f>
        <v>3</v>
      </c>
      <c r="B8" s="109" t="str">
        <f ca="1">IF(D8&lt;&gt;"",MID(貼り付け用!$A$2, FIND("年",貼り付け用!$A$2)+1, LEN(貼り付け用!$A$2)-FIND("年",貼り付け用!$A$2)),"")</f>
        <v/>
      </c>
      <c r="C8" s="110"/>
      <c r="D8" s="117" t="str" cm="1">
        <f t="array" aca="1" ref="D8" ca="1">INDIRECT("'盛付札（関数）'!CL"&amp;A8)</f>
        <v/>
      </c>
      <c r="E8" s="117"/>
      <c r="F8" s="117"/>
      <c r="G8" s="118"/>
      <c r="H8" s="75">
        <f>A8+1</f>
        <v>4</v>
      </c>
      <c r="I8" s="109" t="str">
        <f ca="1">IF(K8&lt;&gt;"",MID(貼り付け用!$A$2, FIND("年",貼り付け用!$A$2)+1, LEN(貼り付け用!$A$2)-FIND("年",貼り付け用!$A$2)),"")</f>
        <v/>
      </c>
      <c r="J8" s="110"/>
      <c r="K8" s="117" t="str" cm="1">
        <f t="array" aca="1" ref="K8" ca="1">INDIRECT("'盛付札（関数）'!CL"&amp;H8)</f>
        <v/>
      </c>
      <c r="L8" s="117"/>
      <c r="M8" s="117"/>
      <c r="N8" s="118"/>
      <c r="O8" s="53"/>
      <c r="P8" s="75">
        <f>W1+1</f>
        <v>15</v>
      </c>
      <c r="Q8" s="109" t="str">
        <f ca="1">IF(S8&lt;&gt;"",MID(貼り付け用!$A$2, FIND("年",貼り付け用!$A$2)+1, LEN(貼り付け用!$A$2)-FIND("年",貼り付け用!$A$2)),"")</f>
        <v/>
      </c>
      <c r="R8" s="110"/>
      <c r="S8" s="117" t="str" cm="1">
        <f t="array" aca="1" ref="S8" ca="1">INDIRECT("'盛付札（関数）'!CL"&amp;P8)</f>
        <v/>
      </c>
      <c r="T8" s="117"/>
      <c r="U8" s="117"/>
      <c r="V8" s="118"/>
      <c r="W8" s="75">
        <f>P8+1</f>
        <v>16</v>
      </c>
      <c r="X8" s="109" t="str">
        <f ca="1">IF(Z8&lt;&gt;"",MID(貼り付け用!$A$2, FIND("年",貼り付け用!$A$2)+1, LEN(貼り付け用!$A$2)-FIND("年",貼り付け用!$A$2)),"")</f>
        <v/>
      </c>
      <c r="Y8" s="110"/>
      <c r="Z8" s="117" t="str" cm="1">
        <f t="array" aca="1" ref="Z8" ca="1">INDIRECT("'盛付札（関数）'!CL"&amp;W8)</f>
        <v/>
      </c>
      <c r="AA8" s="117"/>
      <c r="AB8" s="117"/>
      <c r="AC8" s="118"/>
      <c r="AD8" s="53"/>
      <c r="AE8" s="75">
        <f>AL1+1</f>
        <v>27</v>
      </c>
      <c r="AF8" s="109" t="str">
        <f ca="1">IF(AH8&lt;&gt;"",MID(貼り付け用!$A$2, FIND("年",貼り付け用!$A$2)+1, LEN(貼り付け用!$A$2)-FIND("年",貼り付け用!$A$2)),"")</f>
        <v/>
      </c>
      <c r="AG8" s="110"/>
      <c r="AH8" s="117" t="str" cm="1">
        <f t="array" aca="1" ref="AH8" ca="1">INDIRECT("'盛付札（関数）'!CL"&amp;AE8)</f>
        <v/>
      </c>
      <c r="AI8" s="117"/>
      <c r="AJ8" s="117"/>
      <c r="AK8" s="118"/>
      <c r="AL8" s="75">
        <f>AE8+1</f>
        <v>28</v>
      </c>
      <c r="AM8" s="109" t="str">
        <f ca="1">IF(AO8&lt;&gt;"",MID(貼り付け用!$A$2, FIND("年",貼り付け用!$A$2)+1, LEN(貼り付け用!$A$2)-FIND("年",貼り付け用!$A$2)),"")</f>
        <v/>
      </c>
      <c r="AN8" s="110"/>
      <c r="AO8" s="117" t="str" cm="1">
        <f t="array" aca="1" ref="AO8" ca="1">INDIRECT("'盛付札（関数）'!CL"&amp;AL8)</f>
        <v/>
      </c>
      <c r="AP8" s="117"/>
      <c r="AQ8" s="117"/>
      <c r="AR8" s="118"/>
      <c r="AS8" s="53"/>
      <c r="AT8" s="75">
        <f>BA1+1</f>
        <v>39</v>
      </c>
      <c r="AU8" s="109" t="str">
        <f ca="1">IF(AW8&lt;&gt;"",MID(貼り付け用!$A$2, FIND("年",貼り付け用!$A$2)+1, LEN(貼り付け用!$A$2)-FIND("年",貼り付け用!$A$2)),"")</f>
        <v/>
      </c>
      <c r="AV8" s="110"/>
      <c r="AW8" s="117" t="str" cm="1">
        <f t="array" aca="1" ref="AW8" ca="1">INDIRECT("'盛付札（関数）'!CL"&amp;AT8)</f>
        <v/>
      </c>
      <c r="AX8" s="117"/>
      <c r="AY8" s="117"/>
      <c r="AZ8" s="118"/>
      <c r="BA8" s="75">
        <f>AT8+1</f>
        <v>40</v>
      </c>
      <c r="BB8" s="109" t="str">
        <f ca="1">IF(BD8&lt;&gt;"",MID(貼り付け用!$A$2, FIND("年",貼り付け用!$A$2)+1, LEN(貼り付け用!$A$2)-FIND("年",貼り付け用!$A$2)),"")</f>
        <v/>
      </c>
      <c r="BC8" s="110"/>
      <c r="BD8" s="117" t="str" cm="1">
        <f t="array" aca="1" ref="BD8" ca="1">INDIRECT("'盛付札（関数）'!CL"&amp;BA8)</f>
        <v/>
      </c>
      <c r="BE8" s="117"/>
      <c r="BF8" s="117"/>
      <c r="BG8" s="118"/>
      <c r="BH8" s="53"/>
      <c r="BI8" s="75">
        <f>BP1+1</f>
        <v>51</v>
      </c>
      <c r="BJ8" s="109" t="str">
        <f ca="1">IF(BL8&lt;&gt;"",MID(貼り付け用!$A$2, FIND("年",貼り付け用!$A$2)+1, LEN(貼り付け用!$A$2)-FIND("年",貼り付け用!$A$2)),"")</f>
        <v/>
      </c>
      <c r="BK8" s="110"/>
      <c r="BL8" s="117" t="str" cm="1">
        <f t="array" aca="1" ref="BL8" ca="1">INDIRECT("'盛付札（関数）'!CL"&amp;BI8)</f>
        <v/>
      </c>
      <c r="BM8" s="117"/>
      <c r="BN8" s="117"/>
      <c r="BO8" s="118"/>
      <c r="BP8" s="75">
        <f>BI8+1</f>
        <v>52</v>
      </c>
      <c r="BQ8" s="109" t="str">
        <f ca="1">IF(BS8&lt;&gt;"",MID(貼り付け用!$A$2, FIND("年",貼り付け用!$A$2)+1, LEN(貼り付け用!$A$2)-FIND("年",貼り付け用!$A$2)),"")</f>
        <v/>
      </c>
      <c r="BR8" s="110"/>
      <c r="BS8" s="117" t="str" cm="1">
        <f t="array" aca="1" ref="BS8" ca="1">INDIRECT("'盛付札（関数）'!CL"&amp;BP8)</f>
        <v/>
      </c>
      <c r="BT8" s="117"/>
      <c r="BU8" s="117"/>
      <c r="BV8" s="118"/>
      <c r="BW8" s="53"/>
    </row>
    <row r="9" spans="1:75" s="77" customFormat="1" ht="18" customHeight="1" x14ac:dyDescent="0.55000000000000004">
      <c r="A9" s="75"/>
      <c r="B9" s="78"/>
      <c r="C9" s="79" t="str" cm="1">
        <f t="array" aca="1" ref="C9" ca="1">INDIRECT("'盛付札（関数）'!CM"&amp;A8)</f>
        <v/>
      </c>
      <c r="D9" s="53"/>
      <c r="E9" s="53"/>
      <c r="F9" s="80" t="str" cm="1">
        <f t="array" aca="1" ref="F9" ca="1">IF(INDIRECT("'盛付札（関数）'!CN"&amp;A8)&lt;&gt;"",
INDIRECT("'盛付札（関数）'!CN"&amp;A8),INDIRECT("'盛付札（関数）'!CO"&amp;A8))</f>
        <v/>
      </c>
      <c r="G9" s="111"/>
      <c r="H9" s="75"/>
      <c r="I9" s="78"/>
      <c r="J9" s="79" t="str" cm="1">
        <f t="array" aca="1" ref="J9" ca="1">INDIRECT("'盛付札（関数）'!CM"&amp;H8)</f>
        <v/>
      </c>
      <c r="K9" s="53"/>
      <c r="L9" s="53"/>
      <c r="M9" s="80" t="str" cm="1">
        <f t="array" aca="1" ref="M9" ca="1">IF(INDIRECT("'盛付札（関数）'!CN"&amp;H8)&lt;&gt;"",
INDIRECT("'盛付札（関数）'!CN"&amp;H8),INDIRECT("'盛付札（関数）'!CO"&amp;H8))</f>
        <v/>
      </c>
      <c r="N9" s="111"/>
      <c r="O9" s="53"/>
      <c r="P9" s="75"/>
      <c r="Q9" s="78"/>
      <c r="R9" s="79" t="str" cm="1">
        <f t="array" aca="1" ref="R9" ca="1">INDIRECT("'盛付札（関数）'!CM"&amp;P8)</f>
        <v/>
      </c>
      <c r="S9" s="53"/>
      <c r="T9" s="53"/>
      <c r="U9" s="80" t="str" cm="1">
        <f t="array" aca="1" ref="U9" ca="1">IF(INDIRECT("'盛付札（関数）'!CN"&amp;P8)&lt;&gt;"",
INDIRECT("'盛付札（関数）'!CN"&amp;P8),INDIRECT("'盛付札（関数）'!CO"&amp;P8))</f>
        <v/>
      </c>
      <c r="V9" s="111"/>
      <c r="W9" s="75"/>
      <c r="X9" s="78"/>
      <c r="Y9" s="79" t="str" cm="1">
        <f t="array" aca="1" ref="Y9" ca="1">INDIRECT("'盛付札（関数）'!CM"&amp;W8)</f>
        <v/>
      </c>
      <c r="Z9" s="53"/>
      <c r="AA9" s="53"/>
      <c r="AB9" s="80" t="str" cm="1">
        <f t="array" aca="1" ref="AB9" ca="1">IF(INDIRECT("'盛付札（関数）'!CN"&amp;W8)&lt;&gt;"",
INDIRECT("'盛付札（関数）'!CN"&amp;W8),INDIRECT("'盛付札（関数）'!CO"&amp;W8))</f>
        <v/>
      </c>
      <c r="AC9" s="111"/>
      <c r="AD9" s="53"/>
      <c r="AE9" s="75"/>
      <c r="AF9" s="78"/>
      <c r="AG9" s="79" t="str" cm="1">
        <f t="array" aca="1" ref="AG9" ca="1">INDIRECT("'盛付札（関数）'!CM"&amp;AE8)</f>
        <v/>
      </c>
      <c r="AH9" s="53"/>
      <c r="AI9" s="53"/>
      <c r="AJ9" s="80" t="str" cm="1">
        <f t="array" aca="1" ref="AJ9" ca="1">IF(INDIRECT("'盛付札（関数）'!CN"&amp;AE8)&lt;&gt;"",
INDIRECT("'盛付札（関数）'!CN"&amp;AE8),INDIRECT("'盛付札（関数）'!CO"&amp;AE8))</f>
        <v/>
      </c>
      <c r="AK9" s="111"/>
      <c r="AL9" s="75"/>
      <c r="AM9" s="78"/>
      <c r="AN9" s="79" t="str" cm="1">
        <f t="array" aca="1" ref="AN9" ca="1">INDIRECT("'盛付札（関数）'!CM"&amp;AL8)</f>
        <v/>
      </c>
      <c r="AO9" s="53"/>
      <c r="AP9" s="53"/>
      <c r="AQ9" s="80" t="str" cm="1">
        <f t="array" aca="1" ref="AQ9" ca="1">IF(INDIRECT("'盛付札（関数）'!CN"&amp;AL8)&lt;&gt;"",
INDIRECT("'盛付札（関数）'!CN"&amp;AL8),INDIRECT("'盛付札（関数）'!CO"&amp;AL8))</f>
        <v/>
      </c>
      <c r="AR9" s="111"/>
      <c r="AS9" s="53"/>
      <c r="AT9" s="75"/>
      <c r="AU9" s="78"/>
      <c r="AV9" s="79" t="str" cm="1">
        <f t="array" aca="1" ref="AV9" ca="1">INDIRECT("'盛付札（関数）'!CM"&amp;AT8)</f>
        <v/>
      </c>
      <c r="AW9" s="53"/>
      <c r="AX9" s="53"/>
      <c r="AY9" s="80" t="str" cm="1">
        <f t="array" aca="1" ref="AY9" ca="1">IF(INDIRECT("'盛付札（関数）'!CN"&amp;AT8)&lt;&gt;"",
INDIRECT("'盛付札（関数）'!CN"&amp;AT8),INDIRECT("'盛付札（関数）'!CO"&amp;AT8))</f>
        <v/>
      </c>
      <c r="AZ9" s="111"/>
      <c r="BA9" s="75"/>
      <c r="BB9" s="78"/>
      <c r="BC9" s="79" t="str" cm="1">
        <f t="array" aca="1" ref="BC9" ca="1">INDIRECT("'盛付札（関数）'!CM"&amp;BA8)</f>
        <v/>
      </c>
      <c r="BD9" s="53"/>
      <c r="BE9" s="53"/>
      <c r="BF9" s="80" t="str" cm="1">
        <f t="array" aca="1" ref="BF9" ca="1">IF(INDIRECT("'盛付札（関数）'!CN"&amp;BA8)&lt;&gt;"",
INDIRECT("'盛付札（関数）'!CN"&amp;BA8),INDIRECT("'盛付札（関数）'!CO"&amp;BA8))</f>
        <v/>
      </c>
      <c r="BG9" s="111"/>
      <c r="BH9" s="53"/>
      <c r="BI9" s="75"/>
      <c r="BJ9" s="78"/>
      <c r="BK9" s="79" t="str" cm="1">
        <f t="array" aca="1" ref="BK9" ca="1">INDIRECT("'盛付札（関数）'!CM"&amp;BI8)</f>
        <v/>
      </c>
      <c r="BL9" s="53"/>
      <c r="BM9" s="53"/>
      <c r="BN9" s="80" t="str" cm="1">
        <f t="array" aca="1" ref="BN9" ca="1">IF(INDIRECT("'盛付札（関数）'!CN"&amp;BI8)&lt;&gt;"",
INDIRECT("'盛付札（関数）'!CN"&amp;BI8),INDIRECT("'盛付札（関数）'!CO"&amp;BI8))</f>
        <v/>
      </c>
      <c r="BO9" s="111"/>
      <c r="BP9" s="75"/>
      <c r="BQ9" s="78"/>
      <c r="BR9" s="79" t="str" cm="1">
        <f t="array" aca="1" ref="BR9" ca="1">INDIRECT("'盛付札（関数）'!CM"&amp;BP8)</f>
        <v/>
      </c>
      <c r="BS9" s="53"/>
      <c r="BT9" s="53"/>
      <c r="BU9" s="80" t="str" cm="1">
        <f t="array" aca="1" ref="BU9" ca="1">IF(INDIRECT("'盛付札（関数）'!CN"&amp;BP8)&lt;&gt;"",
INDIRECT("'盛付札（関数）'!CN"&amp;BP8),INDIRECT("'盛付札（関数）'!CO"&amp;BP8))</f>
        <v/>
      </c>
      <c r="BV9" s="111"/>
      <c r="BW9" s="53"/>
    </row>
    <row r="10" spans="1:75" s="77" customFormat="1" x14ac:dyDescent="0.55000000000000004">
      <c r="A10" s="83"/>
      <c r="B10" s="81"/>
      <c r="C10" s="86" t="str">
        <f ca="1">IF(D8&lt;&gt;"","園児","")</f>
        <v/>
      </c>
      <c r="D10" s="87"/>
      <c r="E10" s="86" t="str">
        <f ca="1">IF(D8&lt;&gt;"","先生","")</f>
        <v/>
      </c>
      <c r="F10" s="87"/>
      <c r="G10" s="112"/>
      <c r="H10" s="83"/>
      <c r="I10" s="81"/>
      <c r="J10" s="86" t="str">
        <f ca="1">IF(K8&lt;&gt;"","園児","")</f>
        <v/>
      </c>
      <c r="K10" s="87"/>
      <c r="L10" s="86" t="str">
        <f ca="1">IF(K8&lt;&gt;"","先生","")</f>
        <v/>
      </c>
      <c r="M10" s="87"/>
      <c r="N10" s="112"/>
      <c r="O10" s="53"/>
      <c r="P10" s="83"/>
      <c r="Q10" s="81"/>
      <c r="R10" s="86" t="str">
        <f ca="1">IF(S8&lt;&gt;"","園児","")</f>
        <v/>
      </c>
      <c r="S10" s="87"/>
      <c r="T10" s="86" t="str">
        <f ca="1">IF(S8&lt;&gt;"","先生","")</f>
        <v/>
      </c>
      <c r="U10" s="87"/>
      <c r="V10" s="112"/>
      <c r="W10" s="83"/>
      <c r="X10" s="81"/>
      <c r="Y10" s="86" t="str">
        <f ca="1">IF(Z8&lt;&gt;"","園児","")</f>
        <v/>
      </c>
      <c r="Z10" s="87"/>
      <c r="AA10" s="86" t="str">
        <f ca="1">IF(Z8&lt;&gt;"","先生","")</f>
        <v/>
      </c>
      <c r="AB10" s="87"/>
      <c r="AC10" s="112"/>
      <c r="AD10" s="53"/>
      <c r="AE10" s="83"/>
      <c r="AF10" s="81"/>
      <c r="AG10" s="86" t="str">
        <f ca="1">IF(AH8&lt;&gt;"","園児","")</f>
        <v/>
      </c>
      <c r="AH10" s="87"/>
      <c r="AI10" s="86" t="str">
        <f ca="1">IF(AH8&lt;&gt;"","先生","")</f>
        <v/>
      </c>
      <c r="AJ10" s="87"/>
      <c r="AK10" s="112"/>
      <c r="AL10" s="83"/>
      <c r="AM10" s="81"/>
      <c r="AN10" s="86" t="str">
        <f ca="1">IF(AO8&lt;&gt;"","園児","")</f>
        <v/>
      </c>
      <c r="AO10" s="87"/>
      <c r="AP10" s="86" t="str">
        <f ca="1">IF(AO8&lt;&gt;"","先生","")</f>
        <v/>
      </c>
      <c r="AQ10" s="87"/>
      <c r="AR10" s="112"/>
      <c r="AS10" s="53"/>
      <c r="AT10" s="83"/>
      <c r="AU10" s="81"/>
      <c r="AV10" s="86" t="str">
        <f ca="1">IF(AW8&lt;&gt;"","園児","")</f>
        <v/>
      </c>
      <c r="AW10" s="87"/>
      <c r="AX10" s="86" t="str">
        <f ca="1">IF(AW8&lt;&gt;"","先生","")</f>
        <v/>
      </c>
      <c r="AY10" s="87"/>
      <c r="AZ10" s="112"/>
      <c r="BA10" s="83"/>
      <c r="BB10" s="81"/>
      <c r="BC10" s="86" t="str">
        <f ca="1">IF(BD8&lt;&gt;"","園児","")</f>
        <v/>
      </c>
      <c r="BD10" s="87"/>
      <c r="BE10" s="86" t="str">
        <f ca="1">IF(BD8&lt;&gt;"","先生","")</f>
        <v/>
      </c>
      <c r="BF10" s="87"/>
      <c r="BG10" s="112"/>
      <c r="BH10" s="53"/>
      <c r="BI10" s="83"/>
      <c r="BJ10" s="81"/>
      <c r="BK10" s="86" t="str">
        <f ca="1">IF(BL8&lt;&gt;"","園児","")</f>
        <v/>
      </c>
      <c r="BL10" s="87"/>
      <c r="BM10" s="86" t="str">
        <f ca="1">IF(BL8&lt;&gt;"","先生","")</f>
        <v/>
      </c>
      <c r="BN10" s="87"/>
      <c r="BO10" s="112"/>
      <c r="BP10" s="83"/>
      <c r="BQ10" s="81"/>
      <c r="BR10" s="86" t="str">
        <f ca="1">IF(BS8&lt;&gt;"","園児","")</f>
        <v/>
      </c>
      <c r="BS10" s="87"/>
      <c r="BT10" s="86" t="str">
        <f ca="1">IF(BS8&lt;&gt;"","先生","")</f>
        <v/>
      </c>
      <c r="BU10" s="87"/>
      <c r="BV10" s="112"/>
      <c r="BW10" s="53"/>
    </row>
    <row r="11" spans="1:75" ht="18" customHeight="1" x14ac:dyDescent="1.05">
      <c r="A11" s="58"/>
      <c r="B11" s="57"/>
      <c r="C11" s="90" t="str" cm="1">
        <f t="array" aca="1" ref="C11" ca="1">INDIRECT("'盛付札（関数）'!CP"&amp;A8)</f>
        <v/>
      </c>
      <c r="D11" s="91"/>
      <c r="E11" s="93" t="str" cm="1">
        <f t="array" aca="1" ref="E11" ca="1">INDIRECT("'盛付札（関数）'!CQ"&amp;A8)</f>
        <v/>
      </c>
      <c r="F11" s="91"/>
      <c r="G11" s="112"/>
      <c r="H11" s="58"/>
      <c r="I11" s="57"/>
      <c r="J11" s="90" t="str" cm="1">
        <f t="array" aca="1" ref="J11" ca="1">INDIRECT("'盛付札（関数）'!CP"&amp;H8)</f>
        <v/>
      </c>
      <c r="K11" s="91"/>
      <c r="L11" s="93" t="str" cm="1">
        <f t="array" aca="1" ref="L11" ca="1">INDIRECT("'盛付札（関数）'!CQ"&amp;H8)</f>
        <v/>
      </c>
      <c r="M11" s="91"/>
      <c r="N11" s="112"/>
      <c r="P11" s="58"/>
      <c r="Q11" s="57"/>
      <c r="R11" s="90" t="str" cm="1">
        <f t="array" aca="1" ref="R11" ca="1">INDIRECT("'盛付札（関数）'!CP"&amp;P8)</f>
        <v/>
      </c>
      <c r="S11" s="91"/>
      <c r="T11" s="93" t="str" cm="1">
        <f t="array" aca="1" ref="T11" ca="1">INDIRECT("'盛付札（関数）'!CQ"&amp;P8)</f>
        <v/>
      </c>
      <c r="U11" s="91"/>
      <c r="V11" s="112"/>
      <c r="W11" s="58"/>
      <c r="X11" s="57"/>
      <c r="Y11" s="90" t="str" cm="1">
        <f t="array" aca="1" ref="Y11" ca="1">INDIRECT("'盛付札（関数）'!CP"&amp;W8)</f>
        <v/>
      </c>
      <c r="Z11" s="91"/>
      <c r="AA11" s="93" t="str" cm="1">
        <f t="array" aca="1" ref="AA11" ca="1">INDIRECT("'盛付札（関数）'!CQ"&amp;W8)</f>
        <v/>
      </c>
      <c r="AB11" s="91"/>
      <c r="AC11" s="112"/>
      <c r="AE11" s="58"/>
      <c r="AF11" s="57"/>
      <c r="AG11" s="90" t="str" cm="1">
        <f t="array" aca="1" ref="AG11" ca="1">INDIRECT("'盛付札（関数）'!CP"&amp;AE8)</f>
        <v/>
      </c>
      <c r="AH11" s="91"/>
      <c r="AI11" s="93" t="str" cm="1">
        <f t="array" aca="1" ref="AI11" ca="1">INDIRECT("'盛付札（関数）'!CQ"&amp;AE8)</f>
        <v/>
      </c>
      <c r="AJ11" s="91"/>
      <c r="AK11" s="112"/>
      <c r="AL11" s="58"/>
      <c r="AM11" s="57"/>
      <c r="AN11" s="90" t="str" cm="1">
        <f t="array" aca="1" ref="AN11" ca="1">INDIRECT("'盛付札（関数）'!CP"&amp;AL8)</f>
        <v/>
      </c>
      <c r="AO11" s="91"/>
      <c r="AP11" s="93" t="str" cm="1">
        <f t="array" aca="1" ref="AP11" ca="1">INDIRECT("'盛付札（関数）'!CQ"&amp;AL8)</f>
        <v/>
      </c>
      <c r="AQ11" s="91"/>
      <c r="AR11" s="112"/>
      <c r="AT11" s="58"/>
      <c r="AU11" s="57"/>
      <c r="AV11" s="90" t="str" cm="1">
        <f t="array" aca="1" ref="AV11" ca="1">INDIRECT("'盛付札（関数）'!CP"&amp;AT8)</f>
        <v/>
      </c>
      <c r="AW11" s="91"/>
      <c r="AX11" s="93" t="str" cm="1">
        <f t="array" aca="1" ref="AX11" ca="1">INDIRECT("'盛付札（関数）'!CQ"&amp;AT8)</f>
        <v/>
      </c>
      <c r="AY11" s="91"/>
      <c r="AZ11" s="112"/>
      <c r="BA11" s="58"/>
      <c r="BB11" s="57"/>
      <c r="BC11" s="90" t="str" cm="1">
        <f t="array" aca="1" ref="BC11" ca="1">INDIRECT("'盛付札（関数）'!CP"&amp;BA8)</f>
        <v/>
      </c>
      <c r="BD11" s="91"/>
      <c r="BE11" s="93" t="str" cm="1">
        <f t="array" aca="1" ref="BE11" ca="1">INDIRECT("'盛付札（関数）'!CQ"&amp;BA8)</f>
        <v/>
      </c>
      <c r="BF11" s="91"/>
      <c r="BG11" s="112"/>
      <c r="BI11" s="58"/>
      <c r="BJ11" s="57"/>
      <c r="BK11" s="90" t="str" cm="1">
        <f t="array" aca="1" ref="BK11" ca="1">INDIRECT("'盛付札（関数）'!CP"&amp;BI8)</f>
        <v/>
      </c>
      <c r="BL11" s="91"/>
      <c r="BM11" s="93" t="str" cm="1">
        <f t="array" aca="1" ref="BM11" ca="1">INDIRECT("'盛付札（関数）'!CQ"&amp;BI8)</f>
        <v/>
      </c>
      <c r="BN11" s="91"/>
      <c r="BO11" s="112"/>
      <c r="BP11" s="58"/>
      <c r="BQ11" s="57"/>
      <c r="BR11" s="90" t="str" cm="1">
        <f t="array" aca="1" ref="BR11" ca="1">INDIRECT("'盛付札（関数）'!CP"&amp;BP8)</f>
        <v/>
      </c>
      <c r="BS11" s="91"/>
      <c r="BT11" s="93" t="str" cm="1">
        <f t="array" aca="1" ref="BT11" ca="1">INDIRECT("'盛付札（関数）'!CQ"&amp;BP8)</f>
        <v/>
      </c>
      <c r="BU11" s="91"/>
      <c r="BV11" s="112"/>
    </row>
    <row r="12" spans="1:75" ht="18" customHeight="1" x14ac:dyDescent="0.45">
      <c r="A12" s="58"/>
      <c r="B12" s="59"/>
      <c r="C12" s="92"/>
      <c r="D12" s="92"/>
      <c r="E12" s="92"/>
      <c r="F12" s="92"/>
      <c r="G12" s="113"/>
      <c r="H12" s="58"/>
      <c r="I12" s="59"/>
      <c r="J12" s="92"/>
      <c r="K12" s="92"/>
      <c r="L12" s="92"/>
      <c r="M12" s="92"/>
      <c r="N12" s="113"/>
      <c r="P12" s="58"/>
      <c r="Q12" s="59"/>
      <c r="R12" s="92"/>
      <c r="S12" s="92"/>
      <c r="T12" s="92"/>
      <c r="U12" s="92"/>
      <c r="V12" s="113"/>
      <c r="W12" s="58"/>
      <c r="X12" s="59"/>
      <c r="Y12" s="92"/>
      <c r="Z12" s="92"/>
      <c r="AA12" s="92"/>
      <c r="AB12" s="92"/>
      <c r="AC12" s="113"/>
      <c r="AE12" s="58"/>
      <c r="AF12" s="59"/>
      <c r="AG12" s="92"/>
      <c r="AH12" s="92"/>
      <c r="AI12" s="92"/>
      <c r="AJ12" s="92"/>
      <c r="AK12" s="113"/>
      <c r="AL12" s="58"/>
      <c r="AM12" s="59"/>
      <c r="AN12" s="92"/>
      <c r="AO12" s="92"/>
      <c r="AP12" s="92"/>
      <c r="AQ12" s="92"/>
      <c r="AR12" s="113"/>
      <c r="AT12" s="58"/>
      <c r="AU12" s="59"/>
      <c r="AV12" s="92"/>
      <c r="AW12" s="92"/>
      <c r="AX12" s="92"/>
      <c r="AY12" s="92"/>
      <c r="AZ12" s="113"/>
      <c r="BA12" s="58"/>
      <c r="BB12" s="59"/>
      <c r="BC12" s="92"/>
      <c r="BD12" s="92"/>
      <c r="BE12" s="92"/>
      <c r="BF12" s="92"/>
      <c r="BG12" s="113"/>
      <c r="BI12" s="58"/>
      <c r="BJ12" s="59"/>
      <c r="BK12" s="92"/>
      <c r="BL12" s="92"/>
      <c r="BM12" s="92"/>
      <c r="BN12" s="92"/>
      <c r="BO12" s="113"/>
      <c r="BP12" s="58"/>
      <c r="BQ12" s="59"/>
      <c r="BR12" s="92"/>
      <c r="BS12" s="92"/>
      <c r="BT12" s="92"/>
      <c r="BU12" s="92"/>
      <c r="BV12" s="113"/>
    </row>
    <row r="13" spans="1:75" s="77" customFormat="1" x14ac:dyDescent="0.55000000000000004">
      <c r="A13" s="53"/>
      <c r="B13" s="84" t="str">
        <f ca="1">IF(D8&lt;&gt;"","パン箱","")</f>
        <v/>
      </c>
      <c r="C13" s="82" t="str" cm="1">
        <f t="array" aca="1" ref="C13" ca="1">INDIRECT("'盛付札（関数）'!CR"&amp;A8)</f>
        <v/>
      </c>
      <c r="D13" s="84" t="str">
        <f ca="1">IF(D8&lt;&gt;"","端数","")</f>
        <v/>
      </c>
      <c r="E13" s="82"/>
      <c r="F13" s="84" t="str">
        <f ca="1">IF(D8&lt;&gt;"","アレルギー","")</f>
        <v/>
      </c>
      <c r="G13" s="112"/>
      <c r="H13" s="53"/>
      <c r="I13" s="84" t="str">
        <f ca="1">IF(K8&lt;&gt;"","パン箱","")</f>
        <v/>
      </c>
      <c r="J13" s="82" t="str" cm="1">
        <f t="array" aca="1" ref="J13" ca="1">INDIRECT("'盛付札（関数）'!CR"&amp;H8)</f>
        <v/>
      </c>
      <c r="K13" s="84" t="str">
        <f ca="1">IF(K8&lt;&gt;"","端数","")</f>
        <v/>
      </c>
      <c r="L13" s="82"/>
      <c r="M13" s="84" t="str">
        <f ca="1">IF(K8&lt;&gt;"","アレルギー","")</f>
        <v/>
      </c>
      <c r="N13" s="112"/>
      <c r="O13" s="53"/>
      <c r="P13" s="53"/>
      <c r="Q13" s="84" t="str">
        <f ca="1">IF(S8&lt;&gt;"","パン箱","")</f>
        <v/>
      </c>
      <c r="R13" s="82" t="str" cm="1">
        <f t="array" aca="1" ref="R13" ca="1">INDIRECT("'盛付札（関数）'!CR"&amp;P8)</f>
        <v/>
      </c>
      <c r="S13" s="84" t="str">
        <f ca="1">IF(S8&lt;&gt;"","端数","")</f>
        <v/>
      </c>
      <c r="T13" s="82"/>
      <c r="U13" s="84" t="str">
        <f ca="1">IF(S8&lt;&gt;"","アレルギー","")</f>
        <v/>
      </c>
      <c r="V13" s="112"/>
      <c r="W13" s="53"/>
      <c r="X13" s="84" t="str">
        <f ca="1">IF(Z8&lt;&gt;"","パン箱","")</f>
        <v/>
      </c>
      <c r="Y13" s="82" t="str" cm="1">
        <f t="array" aca="1" ref="Y13" ca="1">INDIRECT("'盛付札（関数）'!CR"&amp;W8)</f>
        <v/>
      </c>
      <c r="Z13" s="84" t="str">
        <f ca="1">IF(Z8&lt;&gt;"","端数","")</f>
        <v/>
      </c>
      <c r="AA13" s="82"/>
      <c r="AB13" s="84" t="str">
        <f ca="1">IF(Z8&lt;&gt;"","アレルギー","")</f>
        <v/>
      </c>
      <c r="AC13" s="112"/>
      <c r="AD13" s="53"/>
      <c r="AE13" s="53"/>
      <c r="AF13" s="84" t="str">
        <f ca="1">IF(AH8&lt;&gt;"","パン箱","")</f>
        <v/>
      </c>
      <c r="AG13" s="82" t="str" cm="1">
        <f t="array" aca="1" ref="AG13" ca="1">INDIRECT("'盛付札（関数）'!CR"&amp;AE8)</f>
        <v/>
      </c>
      <c r="AH13" s="84" t="str">
        <f ca="1">IF(AH8&lt;&gt;"","端数","")</f>
        <v/>
      </c>
      <c r="AI13" s="82"/>
      <c r="AJ13" s="84" t="str">
        <f ca="1">IF(AH8&lt;&gt;"","アレルギー","")</f>
        <v/>
      </c>
      <c r="AK13" s="112"/>
      <c r="AL13" s="53"/>
      <c r="AM13" s="84" t="str">
        <f ca="1">IF(AO8&lt;&gt;"","パン箱","")</f>
        <v/>
      </c>
      <c r="AN13" s="82" t="str" cm="1">
        <f t="array" aca="1" ref="AN13" ca="1">INDIRECT("'盛付札（関数）'!CR"&amp;AL8)</f>
        <v/>
      </c>
      <c r="AO13" s="84" t="str">
        <f ca="1">IF(AO8&lt;&gt;"","端数","")</f>
        <v/>
      </c>
      <c r="AP13" s="82"/>
      <c r="AQ13" s="84" t="str">
        <f ca="1">IF(AO8&lt;&gt;"","アレルギー","")</f>
        <v/>
      </c>
      <c r="AR13" s="112"/>
      <c r="AS13" s="53"/>
      <c r="AT13" s="53"/>
      <c r="AU13" s="84" t="str">
        <f ca="1">IF(AW8&lt;&gt;"","パン箱","")</f>
        <v/>
      </c>
      <c r="AV13" s="82" t="str" cm="1">
        <f t="array" aca="1" ref="AV13" ca="1">INDIRECT("'盛付札（関数）'!CR"&amp;AT8)</f>
        <v/>
      </c>
      <c r="AW13" s="84" t="str">
        <f ca="1">IF(AW8&lt;&gt;"","端数","")</f>
        <v/>
      </c>
      <c r="AX13" s="82"/>
      <c r="AY13" s="84" t="str">
        <f ca="1">IF(AW8&lt;&gt;"","アレルギー","")</f>
        <v/>
      </c>
      <c r="AZ13" s="112"/>
      <c r="BA13" s="53"/>
      <c r="BB13" s="84" t="str">
        <f ca="1">IF(BD8&lt;&gt;"","パン箱","")</f>
        <v/>
      </c>
      <c r="BC13" s="82" t="str" cm="1">
        <f t="array" aca="1" ref="BC13" ca="1">INDIRECT("'盛付札（関数）'!CR"&amp;BA8)</f>
        <v/>
      </c>
      <c r="BD13" s="84" t="str">
        <f ca="1">IF(BD8&lt;&gt;"","端数","")</f>
        <v/>
      </c>
      <c r="BE13" s="82"/>
      <c r="BF13" s="84" t="str">
        <f ca="1">IF(BD8&lt;&gt;"","アレルギー","")</f>
        <v/>
      </c>
      <c r="BG13" s="112"/>
      <c r="BH13" s="53"/>
      <c r="BI13" s="53"/>
      <c r="BJ13" s="84" t="str">
        <f ca="1">IF(BL8&lt;&gt;"","パン箱","")</f>
        <v/>
      </c>
      <c r="BK13" s="82" t="str" cm="1">
        <f t="array" aca="1" ref="BK13" ca="1">INDIRECT("'盛付札（関数）'!CR"&amp;BI8)</f>
        <v/>
      </c>
      <c r="BL13" s="84" t="str">
        <f ca="1">IF(BL8&lt;&gt;"","端数","")</f>
        <v/>
      </c>
      <c r="BM13" s="82"/>
      <c r="BN13" s="84" t="str">
        <f ca="1">IF(BL8&lt;&gt;"","アレルギー","")</f>
        <v/>
      </c>
      <c r="BO13" s="112"/>
      <c r="BP13" s="53"/>
      <c r="BQ13" s="84" t="str">
        <f ca="1">IF(BS8&lt;&gt;"","パン箱","")</f>
        <v/>
      </c>
      <c r="BR13" s="82" t="str" cm="1">
        <f t="array" aca="1" ref="BR13" ca="1">INDIRECT("'盛付札（関数）'!CR"&amp;BP8)</f>
        <v/>
      </c>
      <c r="BS13" s="84" t="str">
        <f ca="1">IF(BS8&lt;&gt;"","端数","")</f>
        <v/>
      </c>
      <c r="BT13" s="82"/>
      <c r="BU13" s="84" t="str">
        <f ca="1">IF(BS8&lt;&gt;"","アレルギー","")</f>
        <v/>
      </c>
      <c r="BV13" s="112"/>
      <c r="BW13" s="53"/>
    </row>
    <row r="14" spans="1:75" ht="21" customHeight="1" x14ac:dyDescent="0.45">
      <c r="B14" s="97" t="str" cm="1">
        <f t="array" aca="1" ref="B14" ca="1">INDIRECT("'盛付札（関数）'!CS"&amp;A8)</f>
        <v/>
      </c>
      <c r="C14" s="95"/>
      <c r="D14" s="97" t="str" cm="1">
        <f t="array" aca="1" ref="D14" ca="1">INDIRECT("'盛付札（関数）'!CT"&amp;A8)</f>
        <v/>
      </c>
      <c r="E14" s="95"/>
      <c r="F14" s="94" t="str" cm="1">
        <f t="array" aca="1" ref="F14" ca="1">INDIRECT("'盛付札（関数）'!CU"&amp;A8)</f>
        <v/>
      </c>
      <c r="G14" s="95"/>
      <c r="I14" s="97" t="str" cm="1">
        <f t="array" aca="1" ref="I14" ca="1">INDIRECT("'盛付札（関数）'!CS"&amp;H8)</f>
        <v/>
      </c>
      <c r="J14" s="95"/>
      <c r="K14" s="97" t="str" cm="1">
        <f t="array" aca="1" ref="K14" ca="1">INDIRECT("'盛付札（関数）'!CT"&amp;H8)</f>
        <v/>
      </c>
      <c r="L14" s="95"/>
      <c r="M14" s="94" t="str" cm="1">
        <f t="array" aca="1" ref="M14" ca="1">INDIRECT("'盛付札（関数）'!CU"&amp;H8)</f>
        <v/>
      </c>
      <c r="N14" s="95"/>
      <c r="Q14" s="97" t="str" cm="1">
        <f t="array" aca="1" ref="Q14" ca="1">INDIRECT("'盛付札（関数）'!CS"&amp;P8)</f>
        <v/>
      </c>
      <c r="R14" s="95"/>
      <c r="S14" s="97" t="str" cm="1">
        <f t="array" aca="1" ref="S14" ca="1">INDIRECT("'盛付札（関数）'!CT"&amp;P8)</f>
        <v/>
      </c>
      <c r="T14" s="95"/>
      <c r="U14" s="94" t="str" cm="1">
        <f t="array" aca="1" ref="U14" ca="1">INDIRECT("'盛付札（関数）'!CU"&amp;P8)</f>
        <v/>
      </c>
      <c r="V14" s="95"/>
      <c r="X14" s="97" t="str" cm="1">
        <f t="array" aca="1" ref="X14" ca="1">INDIRECT("'盛付札（関数）'!CS"&amp;W8)</f>
        <v/>
      </c>
      <c r="Y14" s="95"/>
      <c r="Z14" s="97" t="str" cm="1">
        <f t="array" aca="1" ref="Z14" ca="1">INDIRECT("'盛付札（関数）'!CT"&amp;W8)</f>
        <v/>
      </c>
      <c r="AA14" s="95"/>
      <c r="AB14" s="94" t="str" cm="1">
        <f t="array" aca="1" ref="AB14" ca="1">INDIRECT("'盛付札（関数）'!CU"&amp;W8)</f>
        <v/>
      </c>
      <c r="AC14" s="95"/>
      <c r="AF14" s="97" t="str" cm="1">
        <f t="array" aca="1" ref="AF14" ca="1">INDIRECT("'盛付札（関数）'!CS"&amp;AE8)</f>
        <v/>
      </c>
      <c r="AG14" s="95"/>
      <c r="AH14" s="97" t="str" cm="1">
        <f t="array" aca="1" ref="AH14" ca="1">INDIRECT("'盛付札（関数）'!CT"&amp;AE8)</f>
        <v/>
      </c>
      <c r="AI14" s="95"/>
      <c r="AJ14" s="94" t="str" cm="1">
        <f t="array" aca="1" ref="AJ14" ca="1">INDIRECT("'盛付札（関数）'!CU"&amp;AE8)</f>
        <v/>
      </c>
      <c r="AK14" s="95"/>
      <c r="AM14" s="97" t="str" cm="1">
        <f t="array" aca="1" ref="AM14" ca="1">INDIRECT("'盛付札（関数）'!CS"&amp;AL8)</f>
        <v/>
      </c>
      <c r="AN14" s="95"/>
      <c r="AO14" s="97" t="str" cm="1">
        <f t="array" aca="1" ref="AO14" ca="1">INDIRECT("'盛付札（関数）'!CT"&amp;AL8)</f>
        <v/>
      </c>
      <c r="AP14" s="95"/>
      <c r="AQ14" s="94" t="str" cm="1">
        <f t="array" aca="1" ref="AQ14" ca="1">INDIRECT("'盛付札（関数）'!CU"&amp;AL8)</f>
        <v/>
      </c>
      <c r="AR14" s="95"/>
      <c r="AU14" s="97" t="str" cm="1">
        <f t="array" aca="1" ref="AU14" ca="1">INDIRECT("'盛付札（関数）'!CS"&amp;AT8)</f>
        <v/>
      </c>
      <c r="AV14" s="95"/>
      <c r="AW14" s="97" t="str" cm="1">
        <f t="array" aca="1" ref="AW14" ca="1">INDIRECT("'盛付札（関数）'!CT"&amp;AT8)</f>
        <v/>
      </c>
      <c r="AX14" s="95"/>
      <c r="AY14" s="94" t="str" cm="1">
        <f t="array" aca="1" ref="AY14" ca="1">INDIRECT("'盛付札（関数）'!CU"&amp;AT8)</f>
        <v/>
      </c>
      <c r="AZ14" s="95"/>
      <c r="BB14" s="97" t="str" cm="1">
        <f t="array" aca="1" ref="BB14" ca="1">INDIRECT("'盛付札（関数）'!CS"&amp;BA8)</f>
        <v/>
      </c>
      <c r="BC14" s="95"/>
      <c r="BD14" s="97" t="str" cm="1">
        <f t="array" aca="1" ref="BD14" ca="1">INDIRECT("'盛付札（関数）'!CT"&amp;BA8)</f>
        <v/>
      </c>
      <c r="BE14" s="95"/>
      <c r="BF14" s="94" t="str" cm="1">
        <f t="array" aca="1" ref="BF14" ca="1">INDIRECT("'盛付札（関数）'!CU"&amp;BA8)</f>
        <v/>
      </c>
      <c r="BG14" s="95"/>
      <c r="BJ14" s="97" t="str" cm="1">
        <f t="array" aca="1" ref="BJ14" ca="1">INDIRECT("'盛付札（関数）'!CS"&amp;BI8)</f>
        <v/>
      </c>
      <c r="BK14" s="95"/>
      <c r="BL14" s="97" t="str" cm="1">
        <f t="array" aca="1" ref="BL14" ca="1">INDIRECT("'盛付札（関数）'!CT"&amp;BI8)</f>
        <v/>
      </c>
      <c r="BM14" s="95"/>
      <c r="BN14" s="94" t="str" cm="1">
        <f t="array" aca="1" ref="BN14" ca="1">INDIRECT("'盛付札（関数）'!CU"&amp;BI8)</f>
        <v/>
      </c>
      <c r="BO14" s="95"/>
      <c r="BQ14" s="97" t="str" cm="1">
        <f t="array" aca="1" ref="BQ14" ca="1">INDIRECT("'盛付札（関数）'!CS"&amp;BP8)</f>
        <v/>
      </c>
      <c r="BR14" s="95"/>
      <c r="BS14" s="97" t="str" cm="1">
        <f t="array" aca="1" ref="BS14" ca="1">INDIRECT("'盛付札（関数）'!CT"&amp;BP8)</f>
        <v/>
      </c>
      <c r="BT14" s="95"/>
      <c r="BU14" s="94" t="str" cm="1">
        <f t="array" aca="1" ref="BU14" ca="1">INDIRECT("'盛付札（関数）'!CU"&amp;BP8)</f>
        <v/>
      </c>
      <c r="BV14" s="95"/>
    </row>
    <row r="15" spans="1:75" s="77" customFormat="1" ht="18" customHeight="1" x14ac:dyDescent="0.55000000000000004">
      <c r="A15" s="75">
        <f>H8+1</f>
        <v>5</v>
      </c>
      <c r="B15" s="109" t="str">
        <f ca="1">IF(D15&lt;&gt;"",MID(貼り付け用!$A$2, FIND("年",貼り付け用!$A$2)+1, LEN(貼り付け用!$A$2)-FIND("年",貼り付け用!$A$2)),"")</f>
        <v/>
      </c>
      <c r="C15" s="110"/>
      <c r="D15" s="117" t="str" cm="1">
        <f t="array" aca="1" ref="D15" ca="1">INDIRECT("'盛付札（関数）'!CL"&amp;A15)</f>
        <v/>
      </c>
      <c r="E15" s="117"/>
      <c r="F15" s="117"/>
      <c r="G15" s="118"/>
      <c r="H15" s="75">
        <f>A15+1</f>
        <v>6</v>
      </c>
      <c r="I15" s="109" t="str">
        <f ca="1">IF(K15&lt;&gt;"",MID(貼り付け用!$A$2, FIND("年",貼り付け用!$A$2)+1, LEN(貼り付け用!$A$2)-FIND("年",貼り付け用!$A$2)),"")</f>
        <v/>
      </c>
      <c r="J15" s="110"/>
      <c r="K15" s="117" t="str" cm="1">
        <f t="array" aca="1" ref="K15" ca="1">INDIRECT("'盛付札（関数）'!CL"&amp;H15)</f>
        <v/>
      </c>
      <c r="L15" s="117"/>
      <c r="M15" s="117"/>
      <c r="N15" s="118"/>
      <c r="O15" s="53"/>
      <c r="P15" s="75">
        <f>W8+1</f>
        <v>17</v>
      </c>
      <c r="Q15" s="109" t="str">
        <f ca="1">IF(S15&lt;&gt;"",MID(貼り付け用!$A$2, FIND("年",貼り付け用!$A$2)+1, LEN(貼り付け用!$A$2)-FIND("年",貼り付け用!$A$2)),"")</f>
        <v/>
      </c>
      <c r="R15" s="110"/>
      <c r="S15" s="117" t="str" cm="1">
        <f t="array" aca="1" ref="S15" ca="1">INDIRECT("'盛付札（関数）'!CL"&amp;P15)</f>
        <v/>
      </c>
      <c r="T15" s="117"/>
      <c r="U15" s="117"/>
      <c r="V15" s="118"/>
      <c r="W15" s="75">
        <f>P15+1</f>
        <v>18</v>
      </c>
      <c r="X15" s="109" t="str">
        <f ca="1">IF(Z15&lt;&gt;"",MID(貼り付け用!$A$2, FIND("年",貼り付け用!$A$2)+1, LEN(貼り付け用!$A$2)-FIND("年",貼り付け用!$A$2)),"")</f>
        <v/>
      </c>
      <c r="Y15" s="110"/>
      <c r="Z15" s="117" t="str" cm="1">
        <f t="array" aca="1" ref="Z15" ca="1">INDIRECT("'盛付札（関数）'!CL"&amp;W15)</f>
        <v/>
      </c>
      <c r="AA15" s="117"/>
      <c r="AB15" s="117"/>
      <c r="AC15" s="118"/>
      <c r="AD15" s="53"/>
      <c r="AE15" s="75">
        <f>AL8+1</f>
        <v>29</v>
      </c>
      <c r="AF15" s="109" t="str">
        <f ca="1">IF(AH15&lt;&gt;"",MID(貼り付け用!$A$2, FIND("年",貼り付け用!$A$2)+1, LEN(貼り付け用!$A$2)-FIND("年",貼り付け用!$A$2)),"")</f>
        <v/>
      </c>
      <c r="AG15" s="110"/>
      <c r="AH15" s="117" t="str" cm="1">
        <f t="array" aca="1" ref="AH15" ca="1">INDIRECT("'盛付札（関数）'!CL"&amp;AE15)</f>
        <v/>
      </c>
      <c r="AI15" s="117"/>
      <c r="AJ15" s="117"/>
      <c r="AK15" s="118"/>
      <c r="AL15" s="75">
        <f>AE15+1</f>
        <v>30</v>
      </c>
      <c r="AM15" s="109" t="str">
        <f ca="1">IF(AO15&lt;&gt;"",MID(貼り付け用!$A$2, FIND("年",貼り付け用!$A$2)+1, LEN(貼り付け用!$A$2)-FIND("年",貼り付け用!$A$2)),"")</f>
        <v/>
      </c>
      <c r="AN15" s="110"/>
      <c r="AO15" s="117" t="str" cm="1">
        <f t="array" aca="1" ref="AO15" ca="1">INDIRECT("'盛付札（関数）'!CL"&amp;AL15)</f>
        <v/>
      </c>
      <c r="AP15" s="117"/>
      <c r="AQ15" s="117"/>
      <c r="AR15" s="118"/>
      <c r="AS15" s="53"/>
      <c r="AT15" s="75">
        <f>BA8+1</f>
        <v>41</v>
      </c>
      <c r="AU15" s="109" t="str">
        <f ca="1">IF(AW15&lt;&gt;"",MID(貼り付け用!$A$2, FIND("年",貼り付け用!$A$2)+1, LEN(貼り付け用!$A$2)-FIND("年",貼り付け用!$A$2)),"")</f>
        <v/>
      </c>
      <c r="AV15" s="110"/>
      <c r="AW15" s="117" t="str" cm="1">
        <f t="array" aca="1" ref="AW15" ca="1">INDIRECT("'盛付札（関数）'!CL"&amp;AT15)</f>
        <v/>
      </c>
      <c r="AX15" s="117"/>
      <c r="AY15" s="117"/>
      <c r="AZ15" s="118"/>
      <c r="BA15" s="75">
        <f>AT15+1</f>
        <v>42</v>
      </c>
      <c r="BB15" s="109" t="str">
        <f ca="1">IF(BD15&lt;&gt;"",MID(貼り付け用!$A$2, FIND("年",貼り付け用!$A$2)+1, LEN(貼り付け用!$A$2)-FIND("年",貼り付け用!$A$2)),"")</f>
        <v/>
      </c>
      <c r="BC15" s="110"/>
      <c r="BD15" s="117" t="str" cm="1">
        <f t="array" aca="1" ref="BD15" ca="1">INDIRECT("'盛付札（関数）'!CL"&amp;BA15)</f>
        <v/>
      </c>
      <c r="BE15" s="117"/>
      <c r="BF15" s="117"/>
      <c r="BG15" s="118"/>
      <c r="BH15" s="53"/>
      <c r="BI15" s="75">
        <f>BP8+1</f>
        <v>53</v>
      </c>
      <c r="BJ15" s="109" t="str">
        <f ca="1">IF(BL15&lt;&gt;"",MID(貼り付け用!$A$2, FIND("年",貼り付け用!$A$2)+1, LEN(貼り付け用!$A$2)-FIND("年",貼り付け用!$A$2)),"")</f>
        <v/>
      </c>
      <c r="BK15" s="110"/>
      <c r="BL15" s="117" t="str" cm="1">
        <f t="array" aca="1" ref="BL15" ca="1">INDIRECT("'盛付札（関数）'!CL"&amp;BI15)</f>
        <v/>
      </c>
      <c r="BM15" s="117"/>
      <c r="BN15" s="117"/>
      <c r="BO15" s="118"/>
      <c r="BP15" s="75">
        <f>BI15+1</f>
        <v>54</v>
      </c>
      <c r="BQ15" s="109" t="str">
        <f ca="1">IF(BS15&lt;&gt;"",MID(貼り付け用!$A$2, FIND("年",貼り付け用!$A$2)+1, LEN(貼り付け用!$A$2)-FIND("年",貼り付け用!$A$2)),"")</f>
        <v/>
      </c>
      <c r="BR15" s="110"/>
      <c r="BS15" s="117" t="str" cm="1">
        <f t="array" aca="1" ref="BS15" ca="1">INDIRECT("'盛付札（関数）'!CL"&amp;BP15)</f>
        <v/>
      </c>
      <c r="BT15" s="117"/>
      <c r="BU15" s="117"/>
      <c r="BV15" s="118"/>
      <c r="BW15" s="53"/>
    </row>
    <row r="16" spans="1:75" s="77" customFormat="1" ht="18" customHeight="1" x14ac:dyDescent="0.55000000000000004">
      <c r="A16" s="75"/>
      <c r="B16" s="78"/>
      <c r="C16" s="79" t="str" cm="1">
        <f t="array" aca="1" ref="C16" ca="1">INDIRECT("'盛付札（関数）'!CM"&amp;A15)</f>
        <v/>
      </c>
      <c r="D16" s="53"/>
      <c r="E16" s="53"/>
      <c r="F16" s="80" t="str" cm="1">
        <f t="array" aca="1" ref="F16" ca="1">IF(INDIRECT("'盛付札（関数）'!CN"&amp;A15)&lt;&gt;"",
INDIRECT("'盛付札（関数）'!CN"&amp;A15),INDIRECT("'盛付札（関数）'!CO"&amp;A15))</f>
        <v/>
      </c>
      <c r="G16" s="111"/>
      <c r="H16" s="75"/>
      <c r="I16" s="78"/>
      <c r="J16" s="79" t="str" cm="1">
        <f t="array" aca="1" ref="J16" ca="1">INDIRECT("'盛付札（関数）'!CM"&amp;H15)</f>
        <v/>
      </c>
      <c r="K16" s="53"/>
      <c r="L16" s="53"/>
      <c r="M16" s="80" t="str" cm="1">
        <f t="array" aca="1" ref="M16" ca="1">IF(INDIRECT("'盛付札（関数）'!CN"&amp;H15)&lt;&gt;"",
INDIRECT("'盛付札（関数）'!CN"&amp;H15),INDIRECT("'盛付札（関数）'!CO"&amp;H15))</f>
        <v/>
      </c>
      <c r="N16" s="111"/>
      <c r="O16" s="53"/>
      <c r="P16" s="75"/>
      <c r="Q16" s="78"/>
      <c r="R16" s="79" t="str" cm="1">
        <f t="array" aca="1" ref="R16" ca="1">INDIRECT("'盛付札（関数）'!CM"&amp;P15)</f>
        <v/>
      </c>
      <c r="S16" s="53"/>
      <c r="T16" s="53"/>
      <c r="U16" s="80" t="str" cm="1">
        <f t="array" aca="1" ref="U16" ca="1">IF(INDIRECT("'盛付札（関数）'!CN"&amp;P15)&lt;&gt;"",
INDIRECT("'盛付札（関数）'!CN"&amp;P15),INDIRECT("'盛付札（関数）'!CO"&amp;P15))</f>
        <v/>
      </c>
      <c r="V16" s="111"/>
      <c r="W16" s="75"/>
      <c r="X16" s="78"/>
      <c r="Y16" s="79" t="str" cm="1">
        <f t="array" aca="1" ref="Y16" ca="1">INDIRECT("'盛付札（関数）'!CM"&amp;W15)</f>
        <v/>
      </c>
      <c r="Z16" s="53"/>
      <c r="AA16" s="53"/>
      <c r="AB16" s="80" t="str" cm="1">
        <f t="array" aca="1" ref="AB16" ca="1">IF(INDIRECT("'盛付札（関数）'!CN"&amp;W15)&lt;&gt;"",
INDIRECT("'盛付札（関数）'!CN"&amp;W15),INDIRECT("'盛付札（関数）'!CO"&amp;W15))</f>
        <v/>
      </c>
      <c r="AC16" s="111"/>
      <c r="AD16" s="53"/>
      <c r="AE16" s="75"/>
      <c r="AF16" s="78"/>
      <c r="AG16" s="79" t="str" cm="1">
        <f t="array" aca="1" ref="AG16" ca="1">INDIRECT("'盛付札（関数）'!CM"&amp;AE15)</f>
        <v/>
      </c>
      <c r="AH16" s="53"/>
      <c r="AI16" s="53"/>
      <c r="AJ16" s="80" t="str" cm="1">
        <f t="array" aca="1" ref="AJ16" ca="1">IF(INDIRECT("'盛付札（関数）'!CN"&amp;AE15)&lt;&gt;"",
INDIRECT("'盛付札（関数）'!CN"&amp;AE15),INDIRECT("'盛付札（関数）'!CO"&amp;AE15))</f>
        <v/>
      </c>
      <c r="AK16" s="111"/>
      <c r="AL16" s="75"/>
      <c r="AM16" s="78"/>
      <c r="AN16" s="79" t="str" cm="1">
        <f t="array" aca="1" ref="AN16" ca="1">INDIRECT("'盛付札（関数）'!CM"&amp;AL15)</f>
        <v/>
      </c>
      <c r="AO16" s="53"/>
      <c r="AP16" s="53"/>
      <c r="AQ16" s="80" t="str" cm="1">
        <f t="array" aca="1" ref="AQ16" ca="1">IF(INDIRECT("'盛付札（関数）'!CN"&amp;AL15)&lt;&gt;"",
INDIRECT("'盛付札（関数）'!CN"&amp;AL15),INDIRECT("'盛付札（関数）'!CO"&amp;AL15))</f>
        <v/>
      </c>
      <c r="AR16" s="111"/>
      <c r="AS16" s="53"/>
      <c r="AT16" s="75"/>
      <c r="AU16" s="78"/>
      <c r="AV16" s="79" t="str" cm="1">
        <f t="array" aca="1" ref="AV16" ca="1">INDIRECT("'盛付札（関数）'!CM"&amp;AT15)</f>
        <v/>
      </c>
      <c r="AW16" s="53"/>
      <c r="AX16" s="53"/>
      <c r="AY16" s="80" t="str" cm="1">
        <f t="array" aca="1" ref="AY16" ca="1">IF(INDIRECT("'盛付札（関数）'!CN"&amp;AT15)&lt;&gt;"",
INDIRECT("'盛付札（関数）'!CN"&amp;AT15),INDIRECT("'盛付札（関数）'!CO"&amp;AT15))</f>
        <v/>
      </c>
      <c r="AZ16" s="111"/>
      <c r="BA16" s="75"/>
      <c r="BB16" s="78"/>
      <c r="BC16" s="79" t="str" cm="1">
        <f t="array" aca="1" ref="BC16" ca="1">INDIRECT("'盛付札（関数）'!CM"&amp;BA15)</f>
        <v/>
      </c>
      <c r="BD16" s="53"/>
      <c r="BE16" s="53"/>
      <c r="BF16" s="80" t="str" cm="1">
        <f t="array" aca="1" ref="BF16" ca="1">IF(INDIRECT("'盛付札（関数）'!CN"&amp;BA15)&lt;&gt;"",
INDIRECT("'盛付札（関数）'!CN"&amp;BA15),INDIRECT("'盛付札（関数）'!CO"&amp;BA15))</f>
        <v/>
      </c>
      <c r="BG16" s="111"/>
      <c r="BH16" s="53"/>
      <c r="BI16" s="75"/>
      <c r="BJ16" s="78"/>
      <c r="BK16" s="79" t="str" cm="1">
        <f t="array" aca="1" ref="BK16" ca="1">INDIRECT("'盛付札（関数）'!CM"&amp;BI15)</f>
        <v/>
      </c>
      <c r="BL16" s="53"/>
      <c r="BM16" s="53"/>
      <c r="BN16" s="80" t="str" cm="1">
        <f t="array" aca="1" ref="BN16" ca="1">IF(INDIRECT("'盛付札（関数）'!CN"&amp;BI15)&lt;&gt;"",
INDIRECT("'盛付札（関数）'!CN"&amp;BI15),INDIRECT("'盛付札（関数）'!CO"&amp;BI15))</f>
        <v/>
      </c>
      <c r="BO16" s="111"/>
      <c r="BP16" s="75"/>
      <c r="BQ16" s="78"/>
      <c r="BR16" s="79" t="str" cm="1">
        <f t="array" aca="1" ref="BR16" ca="1">INDIRECT("'盛付札（関数）'!CM"&amp;BP15)</f>
        <v/>
      </c>
      <c r="BS16" s="53"/>
      <c r="BT16" s="53"/>
      <c r="BU16" s="80" t="str" cm="1">
        <f t="array" aca="1" ref="BU16" ca="1">IF(INDIRECT("'盛付札（関数）'!CN"&amp;BP15)&lt;&gt;"",
INDIRECT("'盛付札（関数）'!CN"&amp;BP15),INDIRECT("'盛付札（関数）'!CO"&amp;BP15))</f>
        <v/>
      </c>
      <c r="BV16" s="111"/>
      <c r="BW16" s="53"/>
    </row>
    <row r="17" spans="1:75" s="77" customFormat="1" x14ac:dyDescent="0.55000000000000004">
      <c r="A17" s="83"/>
      <c r="B17" s="81"/>
      <c r="C17" s="86" t="str">
        <f ca="1">IF(D15&lt;&gt;"","園児","")</f>
        <v/>
      </c>
      <c r="D17" s="87"/>
      <c r="E17" s="86" t="str">
        <f ca="1">IF(D15&lt;&gt;"","先生","")</f>
        <v/>
      </c>
      <c r="F17" s="87"/>
      <c r="G17" s="112"/>
      <c r="H17" s="83"/>
      <c r="I17" s="81"/>
      <c r="J17" s="86" t="str">
        <f ca="1">IF(K15&lt;&gt;"","園児","")</f>
        <v/>
      </c>
      <c r="K17" s="87"/>
      <c r="L17" s="86" t="str">
        <f ca="1">IF(K15&lt;&gt;"","先生","")</f>
        <v/>
      </c>
      <c r="M17" s="87"/>
      <c r="N17" s="112"/>
      <c r="O17" s="53"/>
      <c r="P17" s="83"/>
      <c r="Q17" s="81"/>
      <c r="R17" s="86" t="str">
        <f ca="1">IF(S15&lt;&gt;"","園児","")</f>
        <v/>
      </c>
      <c r="S17" s="87"/>
      <c r="T17" s="86" t="str">
        <f ca="1">IF(S15&lt;&gt;"","先生","")</f>
        <v/>
      </c>
      <c r="U17" s="87"/>
      <c r="V17" s="112"/>
      <c r="W17" s="83"/>
      <c r="X17" s="81"/>
      <c r="Y17" s="86" t="str">
        <f ca="1">IF(Z15&lt;&gt;"","園児","")</f>
        <v/>
      </c>
      <c r="Z17" s="87"/>
      <c r="AA17" s="86" t="str">
        <f ca="1">IF(Z15&lt;&gt;"","先生","")</f>
        <v/>
      </c>
      <c r="AB17" s="87"/>
      <c r="AC17" s="112"/>
      <c r="AD17" s="53"/>
      <c r="AE17" s="83"/>
      <c r="AF17" s="81"/>
      <c r="AG17" s="86" t="str">
        <f ca="1">IF(AH15&lt;&gt;"","園児","")</f>
        <v/>
      </c>
      <c r="AH17" s="87"/>
      <c r="AI17" s="86" t="str">
        <f ca="1">IF(AH15&lt;&gt;"","先生","")</f>
        <v/>
      </c>
      <c r="AJ17" s="87"/>
      <c r="AK17" s="112"/>
      <c r="AL17" s="83"/>
      <c r="AM17" s="81"/>
      <c r="AN17" s="86" t="str">
        <f ca="1">IF(AO15&lt;&gt;"","園児","")</f>
        <v/>
      </c>
      <c r="AO17" s="87"/>
      <c r="AP17" s="86" t="str">
        <f ca="1">IF(AO15&lt;&gt;"","先生","")</f>
        <v/>
      </c>
      <c r="AQ17" s="87"/>
      <c r="AR17" s="112"/>
      <c r="AS17" s="53"/>
      <c r="AT17" s="83"/>
      <c r="AU17" s="81"/>
      <c r="AV17" s="86" t="str">
        <f ca="1">IF(AW15&lt;&gt;"","園児","")</f>
        <v/>
      </c>
      <c r="AW17" s="87"/>
      <c r="AX17" s="86" t="str">
        <f ca="1">IF(AW15&lt;&gt;"","先生","")</f>
        <v/>
      </c>
      <c r="AY17" s="87"/>
      <c r="AZ17" s="112"/>
      <c r="BA17" s="83"/>
      <c r="BB17" s="81"/>
      <c r="BC17" s="86" t="str">
        <f ca="1">IF(BD15&lt;&gt;"","園児","")</f>
        <v/>
      </c>
      <c r="BD17" s="87"/>
      <c r="BE17" s="86" t="str">
        <f ca="1">IF(BD15&lt;&gt;"","先生","")</f>
        <v/>
      </c>
      <c r="BF17" s="87"/>
      <c r="BG17" s="112"/>
      <c r="BH17" s="53"/>
      <c r="BI17" s="83"/>
      <c r="BJ17" s="81"/>
      <c r="BK17" s="86" t="str">
        <f ca="1">IF(BL15&lt;&gt;"","園児","")</f>
        <v/>
      </c>
      <c r="BL17" s="87"/>
      <c r="BM17" s="86" t="str">
        <f ca="1">IF(BL15&lt;&gt;"","先生","")</f>
        <v/>
      </c>
      <c r="BN17" s="87"/>
      <c r="BO17" s="112"/>
      <c r="BP17" s="83"/>
      <c r="BQ17" s="81"/>
      <c r="BR17" s="86" t="str">
        <f ca="1">IF(BS15&lt;&gt;"","園児","")</f>
        <v/>
      </c>
      <c r="BS17" s="87"/>
      <c r="BT17" s="86" t="str">
        <f ca="1">IF(BS15&lt;&gt;"","先生","")</f>
        <v/>
      </c>
      <c r="BU17" s="87"/>
      <c r="BV17" s="112"/>
      <c r="BW17" s="53"/>
    </row>
    <row r="18" spans="1:75" ht="18" customHeight="1" x14ac:dyDescent="1.05">
      <c r="A18" s="58"/>
      <c r="B18" s="57"/>
      <c r="C18" s="90" t="str" cm="1">
        <f t="array" aca="1" ref="C18" ca="1">INDIRECT("'盛付札（関数）'!CP"&amp;A15)</f>
        <v/>
      </c>
      <c r="D18" s="91"/>
      <c r="E18" s="93" t="str" cm="1">
        <f t="array" aca="1" ref="E18" ca="1">INDIRECT("'盛付札（関数）'!CQ"&amp;A15)</f>
        <v/>
      </c>
      <c r="F18" s="91"/>
      <c r="G18" s="112"/>
      <c r="H18" s="58"/>
      <c r="I18" s="57"/>
      <c r="J18" s="90" t="str" cm="1">
        <f t="array" aca="1" ref="J18" ca="1">INDIRECT("'盛付札（関数）'!CP"&amp;H15)</f>
        <v/>
      </c>
      <c r="K18" s="91"/>
      <c r="L18" s="93" t="str" cm="1">
        <f t="array" aca="1" ref="L18" ca="1">INDIRECT("'盛付札（関数）'!CQ"&amp;H15)</f>
        <v/>
      </c>
      <c r="M18" s="91"/>
      <c r="N18" s="112"/>
      <c r="P18" s="58"/>
      <c r="Q18" s="57"/>
      <c r="R18" s="90" t="str" cm="1">
        <f t="array" aca="1" ref="R18" ca="1">INDIRECT("'盛付札（関数）'!CP"&amp;P15)</f>
        <v/>
      </c>
      <c r="S18" s="91"/>
      <c r="T18" s="93" t="str" cm="1">
        <f t="array" aca="1" ref="T18" ca="1">INDIRECT("'盛付札（関数）'!CQ"&amp;P15)</f>
        <v/>
      </c>
      <c r="U18" s="91"/>
      <c r="V18" s="112"/>
      <c r="W18" s="58"/>
      <c r="X18" s="57"/>
      <c r="Y18" s="90" t="str" cm="1">
        <f t="array" aca="1" ref="Y18" ca="1">INDIRECT("'盛付札（関数）'!CP"&amp;W15)</f>
        <v/>
      </c>
      <c r="Z18" s="91"/>
      <c r="AA18" s="93" t="str" cm="1">
        <f t="array" aca="1" ref="AA18" ca="1">INDIRECT("'盛付札（関数）'!CQ"&amp;W15)</f>
        <v/>
      </c>
      <c r="AB18" s="91"/>
      <c r="AC18" s="112"/>
      <c r="AE18" s="58"/>
      <c r="AF18" s="57"/>
      <c r="AG18" s="90" t="str" cm="1">
        <f t="array" aca="1" ref="AG18" ca="1">INDIRECT("'盛付札（関数）'!CP"&amp;AE15)</f>
        <v/>
      </c>
      <c r="AH18" s="91"/>
      <c r="AI18" s="93" t="str" cm="1">
        <f t="array" aca="1" ref="AI18" ca="1">INDIRECT("'盛付札（関数）'!CQ"&amp;AE15)</f>
        <v/>
      </c>
      <c r="AJ18" s="91"/>
      <c r="AK18" s="112"/>
      <c r="AL18" s="58"/>
      <c r="AM18" s="57"/>
      <c r="AN18" s="90" t="str" cm="1">
        <f t="array" aca="1" ref="AN18" ca="1">INDIRECT("'盛付札（関数）'!CP"&amp;AL15)</f>
        <v/>
      </c>
      <c r="AO18" s="91"/>
      <c r="AP18" s="93" t="str" cm="1">
        <f t="array" aca="1" ref="AP18" ca="1">INDIRECT("'盛付札（関数）'!CQ"&amp;AL15)</f>
        <v/>
      </c>
      <c r="AQ18" s="91"/>
      <c r="AR18" s="112"/>
      <c r="AT18" s="58"/>
      <c r="AU18" s="57"/>
      <c r="AV18" s="90" t="str" cm="1">
        <f t="array" aca="1" ref="AV18" ca="1">INDIRECT("'盛付札（関数）'!CP"&amp;AT15)</f>
        <v/>
      </c>
      <c r="AW18" s="91"/>
      <c r="AX18" s="93" t="str" cm="1">
        <f t="array" aca="1" ref="AX18" ca="1">INDIRECT("'盛付札（関数）'!CQ"&amp;AT15)</f>
        <v/>
      </c>
      <c r="AY18" s="91"/>
      <c r="AZ18" s="112"/>
      <c r="BA18" s="58"/>
      <c r="BB18" s="57"/>
      <c r="BC18" s="90" t="str" cm="1">
        <f t="array" aca="1" ref="BC18" ca="1">INDIRECT("'盛付札（関数）'!CP"&amp;BA15)</f>
        <v/>
      </c>
      <c r="BD18" s="91"/>
      <c r="BE18" s="93" t="str" cm="1">
        <f t="array" aca="1" ref="BE18" ca="1">INDIRECT("'盛付札（関数）'!CQ"&amp;BA15)</f>
        <v/>
      </c>
      <c r="BF18" s="91"/>
      <c r="BG18" s="112"/>
      <c r="BI18" s="58"/>
      <c r="BJ18" s="57"/>
      <c r="BK18" s="90" t="str" cm="1">
        <f t="array" aca="1" ref="BK18" ca="1">INDIRECT("'盛付札（関数）'!CP"&amp;BI15)</f>
        <v/>
      </c>
      <c r="BL18" s="91"/>
      <c r="BM18" s="93" t="str" cm="1">
        <f t="array" aca="1" ref="BM18" ca="1">INDIRECT("'盛付札（関数）'!CQ"&amp;BI15)</f>
        <v/>
      </c>
      <c r="BN18" s="91"/>
      <c r="BO18" s="112"/>
      <c r="BP18" s="58"/>
      <c r="BQ18" s="57"/>
      <c r="BR18" s="90" t="str" cm="1">
        <f t="array" aca="1" ref="BR18" ca="1">INDIRECT("'盛付札（関数）'!CP"&amp;BP15)</f>
        <v/>
      </c>
      <c r="BS18" s="91"/>
      <c r="BT18" s="93" t="str" cm="1">
        <f t="array" aca="1" ref="BT18" ca="1">INDIRECT("'盛付札（関数）'!CQ"&amp;BP15)</f>
        <v/>
      </c>
      <c r="BU18" s="91"/>
      <c r="BV18" s="112"/>
    </row>
    <row r="19" spans="1:75" ht="18" customHeight="1" x14ac:dyDescent="0.45">
      <c r="A19" s="58"/>
      <c r="B19" s="59"/>
      <c r="C19" s="92"/>
      <c r="D19" s="92"/>
      <c r="E19" s="92"/>
      <c r="F19" s="92"/>
      <c r="G19" s="113"/>
      <c r="H19" s="58"/>
      <c r="I19" s="59"/>
      <c r="J19" s="92"/>
      <c r="K19" s="92"/>
      <c r="L19" s="92"/>
      <c r="M19" s="92"/>
      <c r="N19" s="113"/>
      <c r="P19" s="58"/>
      <c r="Q19" s="59"/>
      <c r="R19" s="92"/>
      <c r="S19" s="92"/>
      <c r="T19" s="92"/>
      <c r="U19" s="92"/>
      <c r="V19" s="113"/>
      <c r="W19" s="58"/>
      <c r="X19" s="59"/>
      <c r="Y19" s="92"/>
      <c r="Z19" s="92"/>
      <c r="AA19" s="92"/>
      <c r="AB19" s="92"/>
      <c r="AC19" s="113"/>
      <c r="AE19" s="58"/>
      <c r="AF19" s="59"/>
      <c r="AG19" s="92"/>
      <c r="AH19" s="92"/>
      <c r="AI19" s="92"/>
      <c r="AJ19" s="92"/>
      <c r="AK19" s="113"/>
      <c r="AL19" s="58"/>
      <c r="AM19" s="59"/>
      <c r="AN19" s="92"/>
      <c r="AO19" s="92"/>
      <c r="AP19" s="92"/>
      <c r="AQ19" s="92"/>
      <c r="AR19" s="113"/>
      <c r="AT19" s="58"/>
      <c r="AU19" s="59"/>
      <c r="AV19" s="92"/>
      <c r="AW19" s="92"/>
      <c r="AX19" s="92"/>
      <c r="AY19" s="92"/>
      <c r="AZ19" s="113"/>
      <c r="BA19" s="58"/>
      <c r="BB19" s="59"/>
      <c r="BC19" s="92"/>
      <c r="BD19" s="92"/>
      <c r="BE19" s="92"/>
      <c r="BF19" s="92"/>
      <c r="BG19" s="113"/>
      <c r="BI19" s="58"/>
      <c r="BJ19" s="59"/>
      <c r="BK19" s="92"/>
      <c r="BL19" s="92"/>
      <c r="BM19" s="92"/>
      <c r="BN19" s="92"/>
      <c r="BO19" s="113"/>
      <c r="BP19" s="58"/>
      <c r="BQ19" s="59"/>
      <c r="BR19" s="92"/>
      <c r="BS19" s="92"/>
      <c r="BT19" s="92"/>
      <c r="BU19" s="92"/>
      <c r="BV19" s="113"/>
    </row>
    <row r="20" spans="1:75" s="77" customFormat="1" x14ac:dyDescent="0.55000000000000004">
      <c r="A20" s="53"/>
      <c r="B20" s="84" t="str">
        <f ca="1">IF(D15&lt;&gt;"","パン箱","")</f>
        <v/>
      </c>
      <c r="C20" s="82" t="str" cm="1">
        <f t="array" aca="1" ref="C20" ca="1">INDIRECT("'盛付札（関数）'!CR"&amp;A15)</f>
        <v/>
      </c>
      <c r="D20" s="84" t="str">
        <f ca="1">IF(D15&lt;&gt;"","端数","")</f>
        <v/>
      </c>
      <c r="E20" s="82"/>
      <c r="F20" s="84" t="str">
        <f ca="1">IF(D15&lt;&gt;"","アレルギー","")</f>
        <v/>
      </c>
      <c r="G20" s="112"/>
      <c r="H20" s="53"/>
      <c r="I20" s="84" t="str">
        <f ca="1">IF(K15&lt;&gt;"","パン箱","")</f>
        <v/>
      </c>
      <c r="J20" s="82" t="str" cm="1">
        <f t="array" aca="1" ref="J20" ca="1">INDIRECT("'盛付札（関数）'!CR"&amp;H15)</f>
        <v/>
      </c>
      <c r="K20" s="84" t="str">
        <f ca="1">IF(K15&lt;&gt;"","端数","")</f>
        <v/>
      </c>
      <c r="L20" s="82"/>
      <c r="M20" s="84" t="str">
        <f ca="1">IF(K15&lt;&gt;"","アレルギー","")</f>
        <v/>
      </c>
      <c r="N20" s="112"/>
      <c r="O20" s="53"/>
      <c r="P20" s="53"/>
      <c r="Q20" s="84" t="str">
        <f ca="1">IF(S15&lt;&gt;"","パン箱","")</f>
        <v/>
      </c>
      <c r="R20" s="82" t="str" cm="1">
        <f t="array" aca="1" ref="R20" ca="1">INDIRECT("'盛付札（関数）'!CR"&amp;P15)</f>
        <v/>
      </c>
      <c r="S20" s="84" t="str">
        <f ca="1">IF(S15&lt;&gt;"","端数","")</f>
        <v/>
      </c>
      <c r="T20" s="82"/>
      <c r="U20" s="84" t="str">
        <f ca="1">IF(S15&lt;&gt;"","アレルギー","")</f>
        <v/>
      </c>
      <c r="V20" s="112"/>
      <c r="W20" s="53"/>
      <c r="X20" s="84" t="str">
        <f ca="1">IF(Z15&lt;&gt;"","パン箱","")</f>
        <v/>
      </c>
      <c r="Y20" s="82" t="str" cm="1">
        <f t="array" aca="1" ref="Y20" ca="1">INDIRECT("'盛付札（関数）'!CR"&amp;W15)</f>
        <v/>
      </c>
      <c r="Z20" s="84" t="str">
        <f ca="1">IF(Z15&lt;&gt;"","端数","")</f>
        <v/>
      </c>
      <c r="AA20" s="82"/>
      <c r="AB20" s="84" t="str">
        <f ca="1">IF(Z15&lt;&gt;"","アレルギー","")</f>
        <v/>
      </c>
      <c r="AC20" s="112"/>
      <c r="AD20" s="53"/>
      <c r="AE20" s="53"/>
      <c r="AF20" s="84" t="str">
        <f ca="1">IF(AH15&lt;&gt;"","パン箱","")</f>
        <v/>
      </c>
      <c r="AG20" s="82" t="str" cm="1">
        <f t="array" aca="1" ref="AG20" ca="1">INDIRECT("'盛付札（関数）'!CR"&amp;AE15)</f>
        <v/>
      </c>
      <c r="AH20" s="84" t="str">
        <f ca="1">IF(AH15&lt;&gt;"","端数","")</f>
        <v/>
      </c>
      <c r="AI20" s="82"/>
      <c r="AJ20" s="84" t="str">
        <f ca="1">IF(AH15&lt;&gt;"","アレルギー","")</f>
        <v/>
      </c>
      <c r="AK20" s="112"/>
      <c r="AL20" s="53"/>
      <c r="AM20" s="84" t="str">
        <f ca="1">IF(AO15&lt;&gt;"","パン箱","")</f>
        <v/>
      </c>
      <c r="AN20" s="82" t="str" cm="1">
        <f t="array" aca="1" ref="AN20" ca="1">INDIRECT("'盛付札（関数）'!CR"&amp;AL15)</f>
        <v/>
      </c>
      <c r="AO20" s="84" t="str">
        <f ca="1">IF(AO15&lt;&gt;"","端数","")</f>
        <v/>
      </c>
      <c r="AP20" s="82"/>
      <c r="AQ20" s="84" t="str">
        <f ca="1">IF(AO15&lt;&gt;"","アレルギー","")</f>
        <v/>
      </c>
      <c r="AR20" s="112"/>
      <c r="AS20" s="53"/>
      <c r="AT20" s="53"/>
      <c r="AU20" s="84" t="str">
        <f ca="1">IF(AW15&lt;&gt;"","パン箱","")</f>
        <v/>
      </c>
      <c r="AV20" s="82" t="str" cm="1">
        <f t="array" aca="1" ref="AV20" ca="1">INDIRECT("'盛付札（関数）'!CR"&amp;AT15)</f>
        <v/>
      </c>
      <c r="AW20" s="84" t="str">
        <f ca="1">IF(AW15&lt;&gt;"","端数","")</f>
        <v/>
      </c>
      <c r="AX20" s="82"/>
      <c r="AY20" s="84" t="str">
        <f ca="1">IF(AW15&lt;&gt;"","アレルギー","")</f>
        <v/>
      </c>
      <c r="AZ20" s="112"/>
      <c r="BA20" s="53"/>
      <c r="BB20" s="84" t="str">
        <f ca="1">IF(BD15&lt;&gt;"","パン箱","")</f>
        <v/>
      </c>
      <c r="BC20" s="82" t="str" cm="1">
        <f t="array" aca="1" ref="BC20" ca="1">INDIRECT("'盛付札（関数）'!CR"&amp;BA15)</f>
        <v/>
      </c>
      <c r="BD20" s="84" t="str">
        <f ca="1">IF(BD15&lt;&gt;"","端数","")</f>
        <v/>
      </c>
      <c r="BE20" s="82"/>
      <c r="BF20" s="84" t="str">
        <f ca="1">IF(BD15&lt;&gt;"","アレルギー","")</f>
        <v/>
      </c>
      <c r="BG20" s="112"/>
      <c r="BH20" s="53"/>
      <c r="BI20" s="53"/>
      <c r="BJ20" s="84" t="str">
        <f ca="1">IF(BL15&lt;&gt;"","パン箱","")</f>
        <v/>
      </c>
      <c r="BK20" s="82" t="str" cm="1">
        <f t="array" aca="1" ref="BK20" ca="1">INDIRECT("'盛付札（関数）'!CR"&amp;BI15)</f>
        <v/>
      </c>
      <c r="BL20" s="84" t="str">
        <f ca="1">IF(BL15&lt;&gt;"","端数","")</f>
        <v/>
      </c>
      <c r="BM20" s="82"/>
      <c r="BN20" s="84" t="str">
        <f ca="1">IF(BL15&lt;&gt;"","アレルギー","")</f>
        <v/>
      </c>
      <c r="BO20" s="112"/>
      <c r="BP20" s="53"/>
      <c r="BQ20" s="84" t="str">
        <f ca="1">IF(BS15&lt;&gt;"","パン箱","")</f>
        <v/>
      </c>
      <c r="BR20" s="82" t="str" cm="1">
        <f t="array" aca="1" ref="BR20" ca="1">INDIRECT("'盛付札（関数）'!CR"&amp;BP15)</f>
        <v/>
      </c>
      <c r="BS20" s="84" t="str">
        <f ca="1">IF(BS15&lt;&gt;"","端数","")</f>
        <v/>
      </c>
      <c r="BT20" s="82"/>
      <c r="BU20" s="84" t="str">
        <f ca="1">IF(BS15&lt;&gt;"","アレルギー","")</f>
        <v/>
      </c>
      <c r="BV20" s="112"/>
      <c r="BW20" s="53"/>
    </row>
    <row r="21" spans="1:75" ht="21" customHeight="1" x14ac:dyDescent="0.45">
      <c r="B21" s="97" t="str" cm="1">
        <f t="array" aca="1" ref="B21" ca="1">INDIRECT("'盛付札（関数）'!CS"&amp;A15)</f>
        <v/>
      </c>
      <c r="C21" s="95"/>
      <c r="D21" s="97" t="str" cm="1">
        <f t="array" aca="1" ref="D21" ca="1">INDIRECT("'盛付札（関数）'!CT"&amp;A15)</f>
        <v/>
      </c>
      <c r="E21" s="95"/>
      <c r="F21" s="94" t="str" cm="1">
        <f t="array" aca="1" ref="F21" ca="1">INDIRECT("'盛付札（関数）'!CU"&amp;A15)</f>
        <v/>
      </c>
      <c r="G21" s="95"/>
      <c r="I21" s="97" t="str" cm="1">
        <f t="array" aca="1" ref="I21" ca="1">INDIRECT("'盛付札（関数）'!CS"&amp;H15)</f>
        <v/>
      </c>
      <c r="J21" s="95"/>
      <c r="K21" s="97" t="str" cm="1">
        <f t="array" aca="1" ref="K21" ca="1">INDIRECT("'盛付札（関数）'!CT"&amp;H15)</f>
        <v/>
      </c>
      <c r="L21" s="95"/>
      <c r="M21" s="94" t="str" cm="1">
        <f t="array" aca="1" ref="M21" ca="1">INDIRECT("'盛付札（関数）'!CU"&amp;H15)</f>
        <v/>
      </c>
      <c r="N21" s="95"/>
      <c r="Q21" s="97" t="str" cm="1">
        <f t="array" aca="1" ref="Q21" ca="1">INDIRECT("'盛付札（関数）'!CS"&amp;P15)</f>
        <v/>
      </c>
      <c r="R21" s="95"/>
      <c r="S21" s="97" t="str" cm="1">
        <f t="array" aca="1" ref="S21" ca="1">INDIRECT("'盛付札（関数）'!CT"&amp;P15)</f>
        <v/>
      </c>
      <c r="T21" s="95"/>
      <c r="U21" s="94" t="str" cm="1">
        <f t="array" aca="1" ref="U21" ca="1">INDIRECT("'盛付札（関数）'!CU"&amp;P15)</f>
        <v/>
      </c>
      <c r="V21" s="95"/>
      <c r="X21" s="97" t="str" cm="1">
        <f t="array" aca="1" ref="X21" ca="1">INDIRECT("'盛付札（関数）'!CS"&amp;W15)</f>
        <v/>
      </c>
      <c r="Y21" s="95"/>
      <c r="Z21" s="97" t="str" cm="1">
        <f t="array" aca="1" ref="Z21" ca="1">INDIRECT("'盛付札（関数）'!CT"&amp;W15)</f>
        <v/>
      </c>
      <c r="AA21" s="95"/>
      <c r="AB21" s="94" t="str" cm="1">
        <f t="array" aca="1" ref="AB21" ca="1">INDIRECT("'盛付札（関数）'!CU"&amp;W15)</f>
        <v/>
      </c>
      <c r="AC21" s="95"/>
      <c r="AF21" s="97" t="str" cm="1">
        <f t="array" aca="1" ref="AF21" ca="1">INDIRECT("'盛付札（関数）'!CS"&amp;AE15)</f>
        <v/>
      </c>
      <c r="AG21" s="95"/>
      <c r="AH21" s="97" t="str" cm="1">
        <f t="array" aca="1" ref="AH21" ca="1">INDIRECT("'盛付札（関数）'!CT"&amp;AE15)</f>
        <v/>
      </c>
      <c r="AI21" s="95"/>
      <c r="AJ21" s="94" t="str" cm="1">
        <f t="array" aca="1" ref="AJ21" ca="1">INDIRECT("'盛付札（関数）'!CU"&amp;AE15)</f>
        <v/>
      </c>
      <c r="AK21" s="95"/>
      <c r="AM21" s="97" t="str" cm="1">
        <f t="array" aca="1" ref="AM21" ca="1">INDIRECT("'盛付札（関数）'!CS"&amp;AL15)</f>
        <v/>
      </c>
      <c r="AN21" s="95"/>
      <c r="AO21" s="97" t="str" cm="1">
        <f t="array" aca="1" ref="AO21" ca="1">INDIRECT("'盛付札（関数）'!CT"&amp;AL15)</f>
        <v/>
      </c>
      <c r="AP21" s="95"/>
      <c r="AQ21" s="94" t="str" cm="1">
        <f t="array" aca="1" ref="AQ21" ca="1">INDIRECT("'盛付札（関数）'!CU"&amp;AL15)</f>
        <v/>
      </c>
      <c r="AR21" s="95"/>
      <c r="AU21" s="97" t="str" cm="1">
        <f t="array" aca="1" ref="AU21" ca="1">INDIRECT("'盛付札（関数）'!CS"&amp;AT15)</f>
        <v/>
      </c>
      <c r="AV21" s="95"/>
      <c r="AW21" s="97" t="str" cm="1">
        <f t="array" aca="1" ref="AW21" ca="1">INDIRECT("'盛付札（関数）'!CT"&amp;AT15)</f>
        <v/>
      </c>
      <c r="AX21" s="95"/>
      <c r="AY21" s="94" t="str" cm="1">
        <f t="array" aca="1" ref="AY21" ca="1">INDIRECT("'盛付札（関数）'!CU"&amp;AT15)</f>
        <v/>
      </c>
      <c r="AZ21" s="95"/>
      <c r="BB21" s="97" t="str" cm="1">
        <f t="array" aca="1" ref="BB21" ca="1">INDIRECT("'盛付札（関数）'!CS"&amp;BA15)</f>
        <v/>
      </c>
      <c r="BC21" s="95"/>
      <c r="BD21" s="97" t="str" cm="1">
        <f t="array" aca="1" ref="BD21" ca="1">INDIRECT("'盛付札（関数）'!CT"&amp;BA15)</f>
        <v/>
      </c>
      <c r="BE21" s="95"/>
      <c r="BF21" s="94" t="str" cm="1">
        <f t="array" aca="1" ref="BF21" ca="1">INDIRECT("'盛付札（関数）'!CU"&amp;BA15)</f>
        <v/>
      </c>
      <c r="BG21" s="95"/>
      <c r="BJ21" s="97" t="str" cm="1">
        <f t="array" aca="1" ref="BJ21" ca="1">INDIRECT("'盛付札（関数）'!CS"&amp;BI15)</f>
        <v/>
      </c>
      <c r="BK21" s="95"/>
      <c r="BL21" s="97" t="str" cm="1">
        <f t="array" aca="1" ref="BL21" ca="1">INDIRECT("'盛付札（関数）'!CT"&amp;BI15)</f>
        <v/>
      </c>
      <c r="BM21" s="95"/>
      <c r="BN21" s="94" t="str" cm="1">
        <f t="array" aca="1" ref="BN21" ca="1">INDIRECT("'盛付札（関数）'!CU"&amp;BI15)</f>
        <v/>
      </c>
      <c r="BO21" s="95"/>
      <c r="BQ21" s="97" t="str" cm="1">
        <f t="array" aca="1" ref="BQ21" ca="1">INDIRECT("'盛付札（関数）'!CS"&amp;BP15)</f>
        <v/>
      </c>
      <c r="BR21" s="95"/>
      <c r="BS21" s="97" t="str" cm="1">
        <f t="array" aca="1" ref="BS21" ca="1">INDIRECT("'盛付札（関数）'!CT"&amp;BP15)</f>
        <v/>
      </c>
      <c r="BT21" s="95"/>
      <c r="BU21" s="94" t="str" cm="1">
        <f t="array" aca="1" ref="BU21" ca="1">INDIRECT("'盛付札（関数）'!CU"&amp;BP15)</f>
        <v/>
      </c>
      <c r="BV21" s="95"/>
    </row>
    <row r="22" spans="1:75" s="77" customFormat="1" ht="18" customHeight="1" x14ac:dyDescent="0.55000000000000004">
      <c r="A22" s="75">
        <f>H15+1</f>
        <v>7</v>
      </c>
      <c r="B22" s="109" t="str">
        <f ca="1">IF(D22&lt;&gt;"",MID(貼り付け用!$A$2, FIND("年",貼り付け用!$A$2)+1, LEN(貼り付け用!$A$2)-FIND("年",貼り付け用!$A$2)),"")</f>
        <v/>
      </c>
      <c r="C22" s="110"/>
      <c r="D22" s="117" t="str" cm="1">
        <f t="array" aca="1" ref="D22" ca="1">INDIRECT("'盛付札（関数）'!CL"&amp;A22)</f>
        <v/>
      </c>
      <c r="E22" s="117"/>
      <c r="F22" s="117"/>
      <c r="G22" s="118"/>
      <c r="H22" s="75">
        <f>A22+1</f>
        <v>8</v>
      </c>
      <c r="I22" s="109" t="str">
        <f ca="1">IF(K22&lt;&gt;"",MID(貼り付け用!$A$2, FIND("年",貼り付け用!$A$2)+1, LEN(貼り付け用!$A$2)-FIND("年",貼り付け用!$A$2)),"")</f>
        <v/>
      </c>
      <c r="J22" s="110"/>
      <c r="K22" s="117" t="str" cm="1">
        <f t="array" aca="1" ref="K22" ca="1">INDIRECT("'盛付札（関数）'!CL"&amp;H22)</f>
        <v/>
      </c>
      <c r="L22" s="117"/>
      <c r="M22" s="117"/>
      <c r="N22" s="118"/>
      <c r="O22" s="53"/>
      <c r="P22" s="75">
        <f>W15+1</f>
        <v>19</v>
      </c>
      <c r="Q22" s="109" t="str">
        <f ca="1">IF(S22&lt;&gt;"",MID(貼り付け用!$A$2, FIND("年",貼り付け用!$A$2)+1, LEN(貼り付け用!$A$2)-FIND("年",貼り付け用!$A$2)),"")</f>
        <v/>
      </c>
      <c r="R22" s="110"/>
      <c r="S22" s="117" t="str" cm="1">
        <f t="array" aca="1" ref="S22" ca="1">INDIRECT("'盛付札（関数）'!CL"&amp;P22)</f>
        <v/>
      </c>
      <c r="T22" s="117"/>
      <c r="U22" s="117"/>
      <c r="V22" s="118"/>
      <c r="W22" s="75">
        <f>P22+1</f>
        <v>20</v>
      </c>
      <c r="X22" s="109" t="str">
        <f ca="1">IF(Z22&lt;&gt;"",MID(貼り付け用!$A$2, FIND("年",貼り付け用!$A$2)+1, LEN(貼り付け用!$A$2)-FIND("年",貼り付け用!$A$2)),"")</f>
        <v/>
      </c>
      <c r="Y22" s="110"/>
      <c r="Z22" s="117" t="str" cm="1">
        <f t="array" aca="1" ref="Z22" ca="1">INDIRECT("'盛付札（関数）'!CL"&amp;W22)</f>
        <v/>
      </c>
      <c r="AA22" s="117"/>
      <c r="AB22" s="117"/>
      <c r="AC22" s="118"/>
      <c r="AD22" s="53"/>
      <c r="AE22" s="75">
        <f>AL15+1</f>
        <v>31</v>
      </c>
      <c r="AF22" s="109" t="str">
        <f ca="1">IF(AH22&lt;&gt;"",MID(貼り付け用!$A$2, FIND("年",貼り付け用!$A$2)+1, LEN(貼り付け用!$A$2)-FIND("年",貼り付け用!$A$2)),"")</f>
        <v/>
      </c>
      <c r="AG22" s="110"/>
      <c r="AH22" s="117" t="str" cm="1">
        <f t="array" aca="1" ref="AH22" ca="1">INDIRECT("'盛付札（関数）'!CL"&amp;AE22)</f>
        <v/>
      </c>
      <c r="AI22" s="117"/>
      <c r="AJ22" s="117"/>
      <c r="AK22" s="118"/>
      <c r="AL22" s="75">
        <f>AE22+1</f>
        <v>32</v>
      </c>
      <c r="AM22" s="109" t="str">
        <f ca="1">IF(AO22&lt;&gt;"",MID(貼り付け用!$A$2, FIND("年",貼り付け用!$A$2)+1, LEN(貼り付け用!$A$2)-FIND("年",貼り付け用!$A$2)),"")</f>
        <v/>
      </c>
      <c r="AN22" s="110"/>
      <c r="AO22" s="117" t="str" cm="1">
        <f t="array" aca="1" ref="AO22" ca="1">INDIRECT("'盛付札（関数）'!CL"&amp;AL22)</f>
        <v/>
      </c>
      <c r="AP22" s="117"/>
      <c r="AQ22" s="117"/>
      <c r="AR22" s="118"/>
      <c r="AS22" s="53"/>
      <c r="AT22" s="75">
        <f>BA15+1</f>
        <v>43</v>
      </c>
      <c r="AU22" s="109" t="str">
        <f ca="1">IF(AW22&lt;&gt;"",MID(貼り付け用!$A$2, FIND("年",貼り付け用!$A$2)+1, LEN(貼り付け用!$A$2)-FIND("年",貼り付け用!$A$2)),"")</f>
        <v/>
      </c>
      <c r="AV22" s="110"/>
      <c r="AW22" s="117" t="str" cm="1">
        <f t="array" aca="1" ref="AW22" ca="1">INDIRECT("'盛付札（関数）'!CL"&amp;AT22)</f>
        <v/>
      </c>
      <c r="AX22" s="117"/>
      <c r="AY22" s="117"/>
      <c r="AZ22" s="118"/>
      <c r="BA22" s="75">
        <f>AT22+1</f>
        <v>44</v>
      </c>
      <c r="BB22" s="109" t="str">
        <f ca="1">IF(BD22&lt;&gt;"",MID(貼り付け用!$A$2, FIND("年",貼り付け用!$A$2)+1, LEN(貼り付け用!$A$2)-FIND("年",貼り付け用!$A$2)),"")</f>
        <v/>
      </c>
      <c r="BC22" s="110"/>
      <c r="BD22" s="117" t="str" cm="1">
        <f t="array" aca="1" ref="BD22" ca="1">INDIRECT("'盛付札（関数）'!CL"&amp;BA22)</f>
        <v/>
      </c>
      <c r="BE22" s="117"/>
      <c r="BF22" s="117"/>
      <c r="BG22" s="118"/>
      <c r="BH22" s="53"/>
      <c r="BI22" s="75">
        <f>BP15+1</f>
        <v>55</v>
      </c>
      <c r="BJ22" s="109" t="str">
        <f ca="1">IF(BL22&lt;&gt;"",MID(貼り付け用!$A$2, FIND("年",貼り付け用!$A$2)+1, LEN(貼り付け用!$A$2)-FIND("年",貼り付け用!$A$2)),"")</f>
        <v/>
      </c>
      <c r="BK22" s="110"/>
      <c r="BL22" s="117" t="str" cm="1">
        <f t="array" aca="1" ref="BL22" ca="1">INDIRECT("'盛付札（関数）'!CL"&amp;BI22)</f>
        <v/>
      </c>
      <c r="BM22" s="117"/>
      <c r="BN22" s="117"/>
      <c r="BO22" s="118"/>
      <c r="BP22" s="75">
        <f>BI22+1</f>
        <v>56</v>
      </c>
      <c r="BQ22" s="109" t="str">
        <f ca="1">IF(BS22&lt;&gt;"",MID(貼り付け用!$A$2, FIND("年",貼り付け用!$A$2)+1, LEN(貼り付け用!$A$2)-FIND("年",貼り付け用!$A$2)),"")</f>
        <v/>
      </c>
      <c r="BR22" s="110"/>
      <c r="BS22" s="117" t="str" cm="1">
        <f t="array" aca="1" ref="BS22" ca="1">INDIRECT("'盛付札（関数）'!CL"&amp;BP22)</f>
        <v/>
      </c>
      <c r="BT22" s="117"/>
      <c r="BU22" s="117"/>
      <c r="BV22" s="118"/>
      <c r="BW22" s="53"/>
    </row>
    <row r="23" spans="1:75" s="77" customFormat="1" ht="18" customHeight="1" x14ac:dyDescent="0.55000000000000004">
      <c r="A23" s="75"/>
      <c r="B23" s="78"/>
      <c r="C23" s="79" t="str" cm="1">
        <f t="array" aca="1" ref="C23" ca="1">INDIRECT("'盛付札（関数）'!CM"&amp;A22)</f>
        <v/>
      </c>
      <c r="D23" s="53"/>
      <c r="E23" s="53"/>
      <c r="F23" s="80" t="str" cm="1">
        <f t="array" aca="1" ref="F23" ca="1">IF(INDIRECT("'盛付札（関数）'!CN"&amp;A22)&lt;&gt;"",
INDIRECT("'盛付札（関数）'!CN"&amp;A22),INDIRECT("'盛付札（関数）'!CO"&amp;A22))</f>
        <v/>
      </c>
      <c r="G23" s="111"/>
      <c r="H23" s="75"/>
      <c r="I23" s="78"/>
      <c r="J23" s="79" t="str" cm="1">
        <f t="array" aca="1" ref="J23" ca="1">INDIRECT("'盛付札（関数）'!CM"&amp;H22)</f>
        <v/>
      </c>
      <c r="K23" s="53"/>
      <c r="L23" s="53"/>
      <c r="M23" s="80" t="str" cm="1">
        <f t="array" aca="1" ref="M23" ca="1">IF(INDIRECT("'盛付札（関数）'!CN"&amp;H22)&lt;&gt;"",
INDIRECT("'盛付札（関数）'!CN"&amp;H22),INDIRECT("'盛付札（関数）'!CO"&amp;H22))</f>
        <v/>
      </c>
      <c r="N23" s="111"/>
      <c r="O23" s="53"/>
      <c r="P23" s="75"/>
      <c r="Q23" s="78"/>
      <c r="R23" s="79" t="str" cm="1">
        <f t="array" aca="1" ref="R23" ca="1">INDIRECT("'盛付札（関数）'!CM"&amp;P22)</f>
        <v/>
      </c>
      <c r="S23" s="53"/>
      <c r="T23" s="53"/>
      <c r="U23" s="80" t="str" cm="1">
        <f t="array" aca="1" ref="U23" ca="1">IF(INDIRECT("'盛付札（関数）'!CN"&amp;P22)&lt;&gt;"",
INDIRECT("'盛付札（関数）'!CN"&amp;P22),INDIRECT("'盛付札（関数）'!CO"&amp;P22))</f>
        <v/>
      </c>
      <c r="V23" s="111"/>
      <c r="W23" s="75"/>
      <c r="X23" s="78"/>
      <c r="Y23" s="79" t="str" cm="1">
        <f t="array" aca="1" ref="Y23" ca="1">INDIRECT("'盛付札（関数）'!CM"&amp;W22)</f>
        <v/>
      </c>
      <c r="Z23" s="53"/>
      <c r="AA23" s="53"/>
      <c r="AB23" s="80" t="str" cm="1">
        <f t="array" aca="1" ref="AB23" ca="1">IF(INDIRECT("'盛付札（関数）'!CN"&amp;W22)&lt;&gt;"",
INDIRECT("'盛付札（関数）'!CN"&amp;W22),INDIRECT("'盛付札（関数）'!CO"&amp;W22))</f>
        <v/>
      </c>
      <c r="AC23" s="111"/>
      <c r="AD23" s="53"/>
      <c r="AE23" s="75"/>
      <c r="AF23" s="78"/>
      <c r="AG23" s="79" t="str" cm="1">
        <f t="array" aca="1" ref="AG23" ca="1">INDIRECT("'盛付札（関数）'!CM"&amp;AE22)</f>
        <v/>
      </c>
      <c r="AH23" s="53"/>
      <c r="AI23" s="53"/>
      <c r="AJ23" s="80" t="str" cm="1">
        <f t="array" aca="1" ref="AJ23" ca="1">IF(INDIRECT("'盛付札（関数）'!CN"&amp;AE22)&lt;&gt;"",
INDIRECT("'盛付札（関数）'!CN"&amp;AE22),INDIRECT("'盛付札（関数）'!CO"&amp;AE22))</f>
        <v/>
      </c>
      <c r="AK23" s="111"/>
      <c r="AL23" s="75"/>
      <c r="AM23" s="78"/>
      <c r="AN23" s="79" t="str" cm="1">
        <f t="array" aca="1" ref="AN23" ca="1">INDIRECT("'盛付札（関数）'!CM"&amp;AL22)</f>
        <v/>
      </c>
      <c r="AO23" s="53"/>
      <c r="AP23" s="53"/>
      <c r="AQ23" s="80" t="str" cm="1">
        <f t="array" aca="1" ref="AQ23" ca="1">IF(INDIRECT("'盛付札（関数）'!CN"&amp;AL22)&lt;&gt;"",
INDIRECT("'盛付札（関数）'!CN"&amp;AL22),INDIRECT("'盛付札（関数）'!CO"&amp;AL22))</f>
        <v/>
      </c>
      <c r="AR23" s="111"/>
      <c r="AS23" s="53"/>
      <c r="AT23" s="75"/>
      <c r="AU23" s="78"/>
      <c r="AV23" s="79" t="str" cm="1">
        <f t="array" aca="1" ref="AV23" ca="1">INDIRECT("'盛付札（関数）'!CM"&amp;AT22)</f>
        <v/>
      </c>
      <c r="AW23" s="53"/>
      <c r="AX23" s="53"/>
      <c r="AY23" s="80" t="str" cm="1">
        <f t="array" aca="1" ref="AY23" ca="1">IF(INDIRECT("'盛付札（関数）'!CN"&amp;AT22)&lt;&gt;"",
INDIRECT("'盛付札（関数）'!CN"&amp;AT22),INDIRECT("'盛付札（関数）'!CO"&amp;AT22))</f>
        <v/>
      </c>
      <c r="AZ23" s="111"/>
      <c r="BA23" s="75"/>
      <c r="BB23" s="78"/>
      <c r="BC23" s="79" t="str" cm="1">
        <f t="array" aca="1" ref="BC23" ca="1">INDIRECT("'盛付札（関数）'!CM"&amp;BA22)</f>
        <v/>
      </c>
      <c r="BD23" s="53"/>
      <c r="BE23" s="53"/>
      <c r="BF23" s="80" t="str" cm="1">
        <f t="array" aca="1" ref="BF23" ca="1">IF(INDIRECT("'盛付札（関数）'!CN"&amp;BA22)&lt;&gt;"",
INDIRECT("'盛付札（関数）'!CN"&amp;BA22),INDIRECT("'盛付札（関数）'!CO"&amp;BA22))</f>
        <v/>
      </c>
      <c r="BG23" s="111"/>
      <c r="BH23" s="53"/>
      <c r="BI23" s="75"/>
      <c r="BJ23" s="78"/>
      <c r="BK23" s="79" t="str" cm="1">
        <f t="array" aca="1" ref="BK23" ca="1">INDIRECT("'盛付札（関数）'!CM"&amp;BI22)</f>
        <v/>
      </c>
      <c r="BL23" s="53"/>
      <c r="BM23" s="53"/>
      <c r="BN23" s="80" t="str" cm="1">
        <f t="array" aca="1" ref="BN23" ca="1">IF(INDIRECT("'盛付札（関数）'!CN"&amp;BI22)&lt;&gt;"",
INDIRECT("'盛付札（関数）'!CN"&amp;BI22),INDIRECT("'盛付札（関数）'!CO"&amp;BI22))</f>
        <v/>
      </c>
      <c r="BO23" s="111"/>
      <c r="BP23" s="75"/>
      <c r="BQ23" s="78"/>
      <c r="BR23" s="79" t="str" cm="1">
        <f t="array" aca="1" ref="BR23" ca="1">INDIRECT("'盛付札（関数）'!CM"&amp;BP22)</f>
        <v/>
      </c>
      <c r="BS23" s="53"/>
      <c r="BT23" s="53"/>
      <c r="BU23" s="80" t="str" cm="1">
        <f t="array" aca="1" ref="BU23" ca="1">IF(INDIRECT("'盛付札（関数）'!CN"&amp;BP22)&lt;&gt;"",
INDIRECT("'盛付札（関数）'!CN"&amp;BP22),INDIRECT("'盛付札（関数）'!CO"&amp;BP22))</f>
        <v/>
      </c>
      <c r="BV23" s="111"/>
      <c r="BW23" s="53"/>
    </row>
    <row r="24" spans="1:75" s="77" customFormat="1" x14ac:dyDescent="0.55000000000000004">
      <c r="A24" s="83"/>
      <c r="B24" s="81"/>
      <c r="C24" s="86" t="str">
        <f ca="1">IF(D22&lt;&gt;"","園児","")</f>
        <v/>
      </c>
      <c r="D24" s="87"/>
      <c r="E24" s="86" t="str">
        <f ca="1">IF(D22&lt;&gt;"","先生","")</f>
        <v/>
      </c>
      <c r="F24" s="87"/>
      <c r="G24" s="112"/>
      <c r="H24" s="83"/>
      <c r="I24" s="81"/>
      <c r="J24" s="86" t="str">
        <f ca="1">IF(K22&lt;&gt;"","園児","")</f>
        <v/>
      </c>
      <c r="K24" s="87"/>
      <c r="L24" s="86" t="str">
        <f ca="1">IF(K22&lt;&gt;"","先生","")</f>
        <v/>
      </c>
      <c r="M24" s="87"/>
      <c r="N24" s="112"/>
      <c r="O24" s="53"/>
      <c r="P24" s="83"/>
      <c r="Q24" s="81"/>
      <c r="R24" s="86" t="str">
        <f ca="1">IF(S22&lt;&gt;"","園児","")</f>
        <v/>
      </c>
      <c r="S24" s="87"/>
      <c r="T24" s="86" t="str">
        <f ca="1">IF(S22&lt;&gt;"","先生","")</f>
        <v/>
      </c>
      <c r="U24" s="87"/>
      <c r="V24" s="112"/>
      <c r="W24" s="83"/>
      <c r="X24" s="81"/>
      <c r="Y24" s="86" t="str">
        <f ca="1">IF(Z22&lt;&gt;"","園児","")</f>
        <v/>
      </c>
      <c r="Z24" s="87"/>
      <c r="AA24" s="86" t="str">
        <f ca="1">IF(Z22&lt;&gt;"","先生","")</f>
        <v/>
      </c>
      <c r="AB24" s="87"/>
      <c r="AC24" s="112"/>
      <c r="AD24" s="53"/>
      <c r="AE24" s="83"/>
      <c r="AF24" s="81"/>
      <c r="AG24" s="86" t="str">
        <f ca="1">IF(AH22&lt;&gt;"","園児","")</f>
        <v/>
      </c>
      <c r="AH24" s="87"/>
      <c r="AI24" s="86" t="str">
        <f ca="1">IF(AH22&lt;&gt;"","先生","")</f>
        <v/>
      </c>
      <c r="AJ24" s="87"/>
      <c r="AK24" s="112"/>
      <c r="AL24" s="83"/>
      <c r="AM24" s="81"/>
      <c r="AN24" s="86" t="str">
        <f ca="1">IF(AO22&lt;&gt;"","園児","")</f>
        <v/>
      </c>
      <c r="AO24" s="87"/>
      <c r="AP24" s="86" t="str">
        <f ca="1">IF(AO22&lt;&gt;"","先生","")</f>
        <v/>
      </c>
      <c r="AQ24" s="87"/>
      <c r="AR24" s="112"/>
      <c r="AS24" s="53"/>
      <c r="AT24" s="83"/>
      <c r="AU24" s="81"/>
      <c r="AV24" s="86" t="str">
        <f ca="1">IF(AW22&lt;&gt;"","園児","")</f>
        <v/>
      </c>
      <c r="AW24" s="87"/>
      <c r="AX24" s="86" t="str">
        <f ca="1">IF(AW22&lt;&gt;"","先生","")</f>
        <v/>
      </c>
      <c r="AY24" s="87"/>
      <c r="AZ24" s="112"/>
      <c r="BA24" s="83"/>
      <c r="BB24" s="81"/>
      <c r="BC24" s="86" t="str">
        <f ca="1">IF(BD22&lt;&gt;"","園児","")</f>
        <v/>
      </c>
      <c r="BD24" s="87"/>
      <c r="BE24" s="86" t="str">
        <f ca="1">IF(BD22&lt;&gt;"","先生","")</f>
        <v/>
      </c>
      <c r="BF24" s="87"/>
      <c r="BG24" s="112"/>
      <c r="BH24" s="53"/>
      <c r="BI24" s="83"/>
      <c r="BJ24" s="81"/>
      <c r="BK24" s="86" t="str">
        <f ca="1">IF(BL22&lt;&gt;"","園児","")</f>
        <v/>
      </c>
      <c r="BL24" s="87"/>
      <c r="BM24" s="86" t="str">
        <f ca="1">IF(BL22&lt;&gt;"","先生","")</f>
        <v/>
      </c>
      <c r="BN24" s="87"/>
      <c r="BO24" s="112"/>
      <c r="BP24" s="83"/>
      <c r="BQ24" s="81"/>
      <c r="BR24" s="86" t="str">
        <f ca="1">IF(BS22&lt;&gt;"","園児","")</f>
        <v/>
      </c>
      <c r="BS24" s="87"/>
      <c r="BT24" s="86" t="str">
        <f ca="1">IF(BS22&lt;&gt;"","先生","")</f>
        <v/>
      </c>
      <c r="BU24" s="87"/>
      <c r="BV24" s="112"/>
      <c r="BW24" s="53"/>
    </row>
    <row r="25" spans="1:75" ht="18" customHeight="1" x14ac:dyDescent="1.05">
      <c r="A25" s="58"/>
      <c r="B25" s="57"/>
      <c r="C25" s="90" t="str" cm="1">
        <f t="array" aca="1" ref="C25" ca="1">INDIRECT("'盛付札（関数）'!CP"&amp;A22)</f>
        <v/>
      </c>
      <c r="D25" s="91"/>
      <c r="E25" s="93" t="str" cm="1">
        <f t="array" aca="1" ref="E25" ca="1">INDIRECT("'盛付札（関数）'!CQ"&amp;A22)</f>
        <v/>
      </c>
      <c r="F25" s="91"/>
      <c r="G25" s="112"/>
      <c r="H25" s="58"/>
      <c r="I25" s="57"/>
      <c r="J25" s="90" t="str" cm="1">
        <f t="array" aca="1" ref="J25" ca="1">INDIRECT("'盛付札（関数）'!CP"&amp;H22)</f>
        <v/>
      </c>
      <c r="K25" s="91"/>
      <c r="L25" s="93" t="str" cm="1">
        <f t="array" aca="1" ref="L25" ca="1">INDIRECT("'盛付札（関数）'!CQ"&amp;H22)</f>
        <v/>
      </c>
      <c r="M25" s="91"/>
      <c r="N25" s="112"/>
      <c r="P25" s="58"/>
      <c r="Q25" s="57"/>
      <c r="R25" s="90" t="str" cm="1">
        <f t="array" aca="1" ref="R25" ca="1">INDIRECT("'盛付札（関数）'!CP"&amp;P22)</f>
        <v/>
      </c>
      <c r="S25" s="91"/>
      <c r="T25" s="93" t="str" cm="1">
        <f t="array" aca="1" ref="T25" ca="1">INDIRECT("'盛付札（関数）'!CQ"&amp;P22)</f>
        <v/>
      </c>
      <c r="U25" s="91"/>
      <c r="V25" s="112"/>
      <c r="W25" s="58"/>
      <c r="X25" s="57"/>
      <c r="Y25" s="90" t="str" cm="1">
        <f t="array" aca="1" ref="Y25" ca="1">INDIRECT("'盛付札（関数）'!CP"&amp;W22)</f>
        <v/>
      </c>
      <c r="Z25" s="91"/>
      <c r="AA25" s="93" t="str" cm="1">
        <f t="array" aca="1" ref="AA25" ca="1">INDIRECT("'盛付札（関数）'!CQ"&amp;W22)</f>
        <v/>
      </c>
      <c r="AB25" s="91"/>
      <c r="AC25" s="112"/>
      <c r="AE25" s="58"/>
      <c r="AF25" s="57"/>
      <c r="AG25" s="90" t="str" cm="1">
        <f t="array" aca="1" ref="AG25" ca="1">INDIRECT("'盛付札（関数）'!CP"&amp;AE22)</f>
        <v/>
      </c>
      <c r="AH25" s="91"/>
      <c r="AI25" s="93" t="str" cm="1">
        <f t="array" aca="1" ref="AI25" ca="1">INDIRECT("'盛付札（関数）'!CQ"&amp;AE22)</f>
        <v/>
      </c>
      <c r="AJ25" s="91"/>
      <c r="AK25" s="112"/>
      <c r="AL25" s="58"/>
      <c r="AM25" s="57"/>
      <c r="AN25" s="90" t="str" cm="1">
        <f t="array" aca="1" ref="AN25" ca="1">INDIRECT("'盛付札（関数）'!CP"&amp;AL22)</f>
        <v/>
      </c>
      <c r="AO25" s="91"/>
      <c r="AP25" s="93" t="str" cm="1">
        <f t="array" aca="1" ref="AP25" ca="1">INDIRECT("'盛付札（関数）'!CQ"&amp;AL22)</f>
        <v/>
      </c>
      <c r="AQ25" s="91"/>
      <c r="AR25" s="112"/>
      <c r="AT25" s="58"/>
      <c r="AU25" s="57"/>
      <c r="AV25" s="90" t="str" cm="1">
        <f t="array" aca="1" ref="AV25" ca="1">INDIRECT("'盛付札（関数）'!CP"&amp;AT22)</f>
        <v/>
      </c>
      <c r="AW25" s="91"/>
      <c r="AX25" s="93" t="str" cm="1">
        <f t="array" aca="1" ref="AX25" ca="1">INDIRECT("'盛付札（関数）'!CQ"&amp;AT22)</f>
        <v/>
      </c>
      <c r="AY25" s="91"/>
      <c r="AZ25" s="112"/>
      <c r="BA25" s="58"/>
      <c r="BB25" s="57"/>
      <c r="BC25" s="90" t="str" cm="1">
        <f t="array" aca="1" ref="BC25" ca="1">INDIRECT("'盛付札（関数）'!CP"&amp;BA22)</f>
        <v/>
      </c>
      <c r="BD25" s="91"/>
      <c r="BE25" s="93" t="str" cm="1">
        <f t="array" aca="1" ref="BE25" ca="1">INDIRECT("'盛付札（関数）'!CQ"&amp;BA22)</f>
        <v/>
      </c>
      <c r="BF25" s="91"/>
      <c r="BG25" s="112"/>
      <c r="BI25" s="58"/>
      <c r="BJ25" s="57"/>
      <c r="BK25" s="90" t="str" cm="1">
        <f t="array" aca="1" ref="BK25" ca="1">INDIRECT("'盛付札（関数）'!CP"&amp;BI22)</f>
        <v/>
      </c>
      <c r="BL25" s="91"/>
      <c r="BM25" s="93" t="str" cm="1">
        <f t="array" aca="1" ref="BM25" ca="1">INDIRECT("'盛付札（関数）'!CQ"&amp;BI22)</f>
        <v/>
      </c>
      <c r="BN25" s="91"/>
      <c r="BO25" s="112"/>
      <c r="BP25" s="58"/>
      <c r="BQ25" s="57"/>
      <c r="BR25" s="90" t="str" cm="1">
        <f t="array" aca="1" ref="BR25" ca="1">INDIRECT("'盛付札（関数）'!CP"&amp;BP22)</f>
        <v/>
      </c>
      <c r="BS25" s="91"/>
      <c r="BT25" s="93" t="str" cm="1">
        <f t="array" aca="1" ref="BT25" ca="1">INDIRECT("'盛付札（関数）'!CQ"&amp;BP22)</f>
        <v/>
      </c>
      <c r="BU25" s="91"/>
      <c r="BV25" s="112"/>
    </row>
    <row r="26" spans="1:75" ht="18" customHeight="1" x14ac:dyDescent="0.45">
      <c r="A26" s="58"/>
      <c r="B26" s="59"/>
      <c r="C26" s="92"/>
      <c r="D26" s="92"/>
      <c r="E26" s="92"/>
      <c r="F26" s="92"/>
      <c r="G26" s="113"/>
      <c r="H26" s="58"/>
      <c r="I26" s="59"/>
      <c r="J26" s="92"/>
      <c r="K26" s="92"/>
      <c r="L26" s="92"/>
      <c r="M26" s="92"/>
      <c r="N26" s="113"/>
      <c r="P26" s="58"/>
      <c r="Q26" s="59"/>
      <c r="R26" s="92"/>
      <c r="S26" s="92"/>
      <c r="T26" s="92"/>
      <c r="U26" s="92"/>
      <c r="V26" s="113"/>
      <c r="W26" s="58"/>
      <c r="X26" s="59"/>
      <c r="Y26" s="92"/>
      <c r="Z26" s="92"/>
      <c r="AA26" s="92"/>
      <c r="AB26" s="92"/>
      <c r="AC26" s="113"/>
      <c r="AE26" s="58"/>
      <c r="AF26" s="59"/>
      <c r="AG26" s="92"/>
      <c r="AH26" s="92"/>
      <c r="AI26" s="92"/>
      <c r="AJ26" s="92"/>
      <c r="AK26" s="113"/>
      <c r="AL26" s="58"/>
      <c r="AM26" s="59"/>
      <c r="AN26" s="92"/>
      <c r="AO26" s="92"/>
      <c r="AP26" s="92"/>
      <c r="AQ26" s="92"/>
      <c r="AR26" s="113"/>
      <c r="AT26" s="58"/>
      <c r="AU26" s="59"/>
      <c r="AV26" s="92"/>
      <c r="AW26" s="92"/>
      <c r="AX26" s="92"/>
      <c r="AY26" s="92"/>
      <c r="AZ26" s="113"/>
      <c r="BA26" s="58"/>
      <c r="BB26" s="59"/>
      <c r="BC26" s="92"/>
      <c r="BD26" s="92"/>
      <c r="BE26" s="92"/>
      <c r="BF26" s="92"/>
      <c r="BG26" s="113"/>
      <c r="BI26" s="58"/>
      <c r="BJ26" s="59"/>
      <c r="BK26" s="92"/>
      <c r="BL26" s="92"/>
      <c r="BM26" s="92"/>
      <c r="BN26" s="92"/>
      <c r="BO26" s="113"/>
      <c r="BP26" s="58"/>
      <c r="BQ26" s="59"/>
      <c r="BR26" s="92"/>
      <c r="BS26" s="92"/>
      <c r="BT26" s="92"/>
      <c r="BU26" s="92"/>
      <c r="BV26" s="113"/>
    </row>
    <row r="27" spans="1:75" s="77" customFormat="1" x14ac:dyDescent="0.55000000000000004">
      <c r="A27" s="53"/>
      <c r="B27" s="84" t="str">
        <f ca="1">IF(D22&lt;&gt;"","パン箱","")</f>
        <v/>
      </c>
      <c r="C27" s="82" t="str" cm="1">
        <f t="array" aca="1" ref="C27" ca="1">INDIRECT("'盛付札（関数）'!CR"&amp;A22)</f>
        <v/>
      </c>
      <c r="D27" s="84" t="str">
        <f ca="1">IF(D22&lt;&gt;"","端数","")</f>
        <v/>
      </c>
      <c r="E27" s="82"/>
      <c r="F27" s="84" t="str">
        <f ca="1">IF(D22&lt;&gt;"","アレルギー","")</f>
        <v/>
      </c>
      <c r="G27" s="112"/>
      <c r="H27" s="53"/>
      <c r="I27" s="84" t="str">
        <f ca="1">IF(K22&lt;&gt;"","パン箱","")</f>
        <v/>
      </c>
      <c r="J27" s="82" t="str" cm="1">
        <f t="array" aca="1" ref="J27" ca="1">INDIRECT("'盛付札（関数）'!CR"&amp;H22)</f>
        <v/>
      </c>
      <c r="K27" s="84" t="str">
        <f ca="1">IF(K22&lt;&gt;"","端数","")</f>
        <v/>
      </c>
      <c r="L27" s="82"/>
      <c r="M27" s="84" t="str">
        <f ca="1">IF(K22&lt;&gt;"","アレルギー","")</f>
        <v/>
      </c>
      <c r="N27" s="112"/>
      <c r="O27" s="53"/>
      <c r="P27" s="53"/>
      <c r="Q27" s="84" t="str">
        <f ca="1">IF(S22&lt;&gt;"","パン箱","")</f>
        <v/>
      </c>
      <c r="R27" s="82" t="str" cm="1">
        <f t="array" aca="1" ref="R27" ca="1">INDIRECT("'盛付札（関数）'!CR"&amp;P22)</f>
        <v/>
      </c>
      <c r="S27" s="84" t="str">
        <f ca="1">IF(S22&lt;&gt;"","端数","")</f>
        <v/>
      </c>
      <c r="T27" s="82"/>
      <c r="U27" s="84" t="str">
        <f ca="1">IF(S22&lt;&gt;"","アレルギー","")</f>
        <v/>
      </c>
      <c r="V27" s="112"/>
      <c r="W27" s="53"/>
      <c r="X27" s="84" t="str">
        <f ca="1">IF(Z22&lt;&gt;"","パン箱","")</f>
        <v/>
      </c>
      <c r="Y27" s="82" t="str" cm="1">
        <f t="array" aca="1" ref="Y27" ca="1">INDIRECT("'盛付札（関数）'!CR"&amp;W22)</f>
        <v/>
      </c>
      <c r="Z27" s="84" t="str">
        <f ca="1">IF(Z22&lt;&gt;"","端数","")</f>
        <v/>
      </c>
      <c r="AA27" s="82"/>
      <c r="AB27" s="84" t="str">
        <f ca="1">IF(Z22&lt;&gt;"","アレルギー","")</f>
        <v/>
      </c>
      <c r="AC27" s="112"/>
      <c r="AD27" s="53"/>
      <c r="AE27" s="53"/>
      <c r="AF27" s="84" t="str">
        <f ca="1">IF(AH22&lt;&gt;"","パン箱","")</f>
        <v/>
      </c>
      <c r="AG27" s="82" t="str" cm="1">
        <f t="array" aca="1" ref="AG27" ca="1">INDIRECT("'盛付札（関数）'!CR"&amp;AE22)</f>
        <v/>
      </c>
      <c r="AH27" s="84" t="str">
        <f ca="1">IF(AH22&lt;&gt;"","端数","")</f>
        <v/>
      </c>
      <c r="AI27" s="82"/>
      <c r="AJ27" s="84" t="str">
        <f ca="1">IF(AH22&lt;&gt;"","アレルギー","")</f>
        <v/>
      </c>
      <c r="AK27" s="112"/>
      <c r="AL27" s="53"/>
      <c r="AM27" s="84" t="str">
        <f ca="1">IF(AO22&lt;&gt;"","パン箱","")</f>
        <v/>
      </c>
      <c r="AN27" s="82" t="str" cm="1">
        <f t="array" aca="1" ref="AN27" ca="1">INDIRECT("'盛付札（関数）'!CR"&amp;AL22)</f>
        <v/>
      </c>
      <c r="AO27" s="84" t="str">
        <f ca="1">IF(AO22&lt;&gt;"","端数","")</f>
        <v/>
      </c>
      <c r="AP27" s="82"/>
      <c r="AQ27" s="84" t="str">
        <f ca="1">IF(AO22&lt;&gt;"","アレルギー","")</f>
        <v/>
      </c>
      <c r="AR27" s="112"/>
      <c r="AS27" s="53"/>
      <c r="AT27" s="53"/>
      <c r="AU27" s="84" t="str">
        <f ca="1">IF(AW22&lt;&gt;"","パン箱","")</f>
        <v/>
      </c>
      <c r="AV27" s="82" t="str" cm="1">
        <f t="array" aca="1" ref="AV27" ca="1">INDIRECT("'盛付札（関数）'!CR"&amp;AT22)</f>
        <v/>
      </c>
      <c r="AW27" s="84" t="str">
        <f ca="1">IF(AW22&lt;&gt;"","端数","")</f>
        <v/>
      </c>
      <c r="AX27" s="82"/>
      <c r="AY27" s="84" t="str">
        <f ca="1">IF(AW22&lt;&gt;"","アレルギー","")</f>
        <v/>
      </c>
      <c r="AZ27" s="112"/>
      <c r="BA27" s="53"/>
      <c r="BB27" s="84" t="str">
        <f ca="1">IF(BD22&lt;&gt;"","パン箱","")</f>
        <v/>
      </c>
      <c r="BC27" s="82" t="str" cm="1">
        <f t="array" aca="1" ref="BC27" ca="1">INDIRECT("'盛付札（関数）'!CR"&amp;BA22)</f>
        <v/>
      </c>
      <c r="BD27" s="84" t="str">
        <f ca="1">IF(BD22&lt;&gt;"","端数","")</f>
        <v/>
      </c>
      <c r="BE27" s="82"/>
      <c r="BF27" s="84" t="str">
        <f ca="1">IF(BD22&lt;&gt;"","アレルギー","")</f>
        <v/>
      </c>
      <c r="BG27" s="112"/>
      <c r="BH27" s="53"/>
      <c r="BI27" s="53"/>
      <c r="BJ27" s="84" t="str">
        <f ca="1">IF(BL22&lt;&gt;"","パン箱","")</f>
        <v/>
      </c>
      <c r="BK27" s="82" t="str" cm="1">
        <f t="array" aca="1" ref="BK27" ca="1">INDIRECT("'盛付札（関数）'!CR"&amp;BI22)</f>
        <v/>
      </c>
      <c r="BL27" s="84" t="str">
        <f ca="1">IF(BL22&lt;&gt;"","端数","")</f>
        <v/>
      </c>
      <c r="BM27" s="82"/>
      <c r="BN27" s="84" t="str">
        <f ca="1">IF(BL22&lt;&gt;"","アレルギー","")</f>
        <v/>
      </c>
      <c r="BO27" s="112"/>
      <c r="BP27" s="53"/>
      <c r="BQ27" s="84" t="str">
        <f ca="1">IF(BS22&lt;&gt;"","パン箱","")</f>
        <v/>
      </c>
      <c r="BR27" s="82" t="str" cm="1">
        <f t="array" aca="1" ref="BR27" ca="1">INDIRECT("'盛付札（関数）'!CR"&amp;BP22)</f>
        <v/>
      </c>
      <c r="BS27" s="84" t="str">
        <f ca="1">IF(BS22&lt;&gt;"","端数","")</f>
        <v/>
      </c>
      <c r="BT27" s="82"/>
      <c r="BU27" s="84" t="str">
        <f ca="1">IF(BS22&lt;&gt;"","アレルギー","")</f>
        <v/>
      </c>
      <c r="BV27" s="112"/>
      <c r="BW27" s="53"/>
    </row>
    <row r="28" spans="1:75" ht="21" customHeight="1" x14ac:dyDescent="0.45">
      <c r="B28" s="97" t="str" cm="1">
        <f t="array" aca="1" ref="B28" ca="1">INDIRECT("'盛付札（関数）'!CS"&amp;A22)</f>
        <v/>
      </c>
      <c r="C28" s="95"/>
      <c r="D28" s="97" t="str" cm="1">
        <f t="array" aca="1" ref="D28" ca="1">INDIRECT("'盛付札（関数）'!CT"&amp;A22)</f>
        <v/>
      </c>
      <c r="E28" s="95"/>
      <c r="F28" s="94" t="str" cm="1">
        <f t="array" aca="1" ref="F28" ca="1">INDIRECT("'盛付札（関数）'!CU"&amp;A22)</f>
        <v/>
      </c>
      <c r="G28" s="95"/>
      <c r="I28" s="97" t="str" cm="1">
        <f t="array" aca="1" ref="I28" ca="1">INDIRECT("'盛付札（関数）'!CS"&amp;H22)</f>
        <v/>
      </c>
      <c r="J28" s="95"/>
      <c r="K28" s="97" t="str" cm="1">
        <f t="array" aca="1" ref="K28" ca="1">INDIRECT("'盛付札（関数）'!CT"&amp;H22)</f>
        <v/>
      </c>
      <c r="L28" s="95"/>
      <c r="M28" s="94" t="str" cm="1">
        <f t="array" aca="1" ref="M28" ca="1">INDIRECT("'盛付札（関数）'!CU"&amp;H22)</f>
        <v/>
      </c>
      <c r="N28" s="95"/>
      <c r="Q28" s="97" t="str" cm="1">
        <f t="array" aca="1" ref="Q28" ca="1">INDIRECT("'盛付札（関数）'!CS"&amp;P22)</f>
        <v/>
      </c>
      <c r="R28" s="95"/>
      <c r="S28" s="97" t="str" cm="1">
        <f t="array" aca="1" ref="S28" ca="1">INDIRECT("'盛付札（関数）'!CT"&amp;P22)</f>
        <v/>
      </c>
      <c r="T28" s="95"/>
      <c r="U28" s="94" t="str" cm="1">
        <f t="array" aca="1" ref="U28" ca="1">INDIRECT("'盛付札（関数）'!CU"&amp;P22)</f>
        <v/>
      </c>
      <c r="V28" s="95"/>
      <c r="X28" s="97" t="str" cm="1">
        <f t="array" aca="1" ref="X28" ca="1">INDIRECT("'盛付札（関数）'!CS"&amp;W22)</f>
        <v/>
      </c>
      <c r="Y28" s="95"/>
      <c r="Z28" s="97" t="str" cm="1">
        <f t="array" aca="1" ref="Z28" ca="1">INDIRECT("'盛付札（関数）'!CT"&amp;W22)</f>
        <v/>
      </c>
      <c r="AA28" s="95"/>
      <c r="AB28" s="94" t="str" cm="1">
        <f t="array" aca="1" ref="AB28" ca="1">INDIRECT("'盛付札（関数）'!CU"&amp;W22)</f>
        <v/>
      </c>
      <c r="AC28" s="95"/>
      <c r="AF28" s="97" t="str" cm="1">
        <f t="array" aca="1" ref="AF28" ca="1">INDIRECT("'盛付札（関数）'!CS"&amp;AE22)</f>
        <v/>
      </c>
      <c r="AG28" s="95"/>
      <c r="AH28" s="97" t="str" cm="1">
        <f t="array" aca="1" ref="AH28" ca="1">INDIRECT("'盛付札（関数）'!CT"&amp;AE22)</f>
        <v/>
      </c>
      <c r="AI28" s="95"/>
      <c r="AJ28" s="94" t="str" cm="1">
        <f t="array" aca="1" ref="AJ28" ca="1">INDIRECT("'盛付札（関数）'!CU"&amp;AE22)</f>
        <v/>
      </c>
      <c r="AK28" s="95"/>
      <c r="AM28" s="97" t="str" cm="1">
        <f t="array" aca="1" ref="AM28" ca="1">INDIRECT("'盛付札（関数）'!CS"&amp;AL22)</f>
        <v/>
      </c>
      <c r="AN28" s="95"/>
      <c r="AO28" s="97" t="str" cm="1">
        <f t="array" aca="1" ref="AO28" ca="1">INDIRECT("'盛付札（関数）'!CT"&amp;AL22)</f>
        <v/>
      </c>
      <c r="AP28" s="95"/>
      <c r="AQ28" s="94" t="str" cm="1">
        <f t="array" aca="1" ref="AQ28" ca="1">INDIRECT("'盛付札（関数）'!CU"&amp;AL22)</f>
        <v/>
      </c>
      <c r="AR28" s="95"/>
      <c r="AU28" s="97" t="str" cm="1">
        <f t="array" aca="1" ref="AU28" ca="1">INDIRECT("'盛付札（関数）'!CS"&amp;AT22)</f>
        <v/>
      </c>
      <c r="AV28" s="95"/>
      <c r="AW28" s="97" t="str" cm="1">
        <f t="array" aca="1" ref="AW28" ca="1">INDIRECT("'盛付札（関数）'!CT"&amp;AT22)</f>
        <v/>
      </c>
      <c r="AX28" s="95"/>
      <c r="AY28" s="94" t="str" cm="1">
        <f t="array" aca="1" ref="AY28" ca="1">INDIRECT("'盛付札（関数）'!CU"&amp;AT22)</f>
        <v/>
      </c>
      <c r="AZ28" s="95"/>
      <c r="BB28" s="97" t="str" cm="1">
        <f t="array" aca="1" ref="BB28" ca="1">INDIRECT("'盛付札（関数）'!CS"&amp;BA22)</f>
        <v/>
      </c>
      <c r="BC28" s="95"/>
      <c r="BD28" s="97" t="str" cm="1">
        <f t="array" aca="1" ref="BD28" ca="1">INDIRECT("'盛付札（関数）'!CT"&amp;BA22)</f>
        <v/>
      </c>
      <c r="BE28" s="95"/>
      <c r="BF28" s="94" t="str" cm="1">
        <f t="array" aca="1" ref="BF28" ca="1">INDIRECT("'盛付札（関数）'!CU"&amp;BA22)</f>
        <v/>
      </c>
      <c r="BG28" s="95"/>
      <c r="BJ28" s="97" t="str" cm="1">
        <f t="array" aca="1" ref="BJ28" ca="1">INDIRECT("'盛付札（関数）'!CS"&amp;BI22)</f>
        <v/>
      </c>
      <c r="BK28" s="95"/>
      <c r="BL28" s="97" t="str" cm="1">
        <f t="array" aca="1" ref="BL28" ca="1">INDIRECT("'盛付札（関数）'!CT"&amp;BI22)</f>
        <v/>
      </c>
      <c r="BM28" s="95"/>
      <c r="BN28" s="94" t="str" cm="1">
        <f t="array" aca="1" ref="BN28" ca="1">INDIRECT("'盛付札（関数）'!CU"&amp;BI22)</f>
        <v/>
      </c>
      <c r="BO28" s="95"/>
      <c r="BQ28" s="97" t="str" cm="1">
        <f t="array" aca="1" ref="BQ28" ca="1">INDIRECT("'盛付札（関数）'!CS"&amp;BP22)</f>
        <v/>
      </c>
      <c r="BR28" s="95"/>
      <c r="BS28" s="97" t="str" cm="1">
        <f t="array" aca="1" ref="BS28" ca="1">INDIRECT("'盛付札（関数）'!CT"&amp;BP22)</f>
        <v/>
      </c>
      <c r="BT28" s="95"/>
      <c r="BU28" s="94" t="str" cm="1">
        <f t="array" aca="1" ref="BU28" ca="1">INDIRECT("'盛付札（関数）'!CU"&amp;BP22)</f>
        <v/>
      </c>
      <c r="BV28" s="95"/>
    </row>
    <row r="29" spans="1:75" s="77" customFormat="1" ht="18" customHeight="1" x14ac:dyDescent="0.55000000000000004">
      <c r="A29" s="75">
        <f>H22+1</f>
        <v>9</v>
      </c>
      <c r="B29" s="109" t="str">
        <f ca="1">IF(D29&lt;&gt;"",MID(貼り付け用!$A$2, FIND("年",貼り付け用!$A$2)+1, LEN(貼り付け用!$A$2)-FIND("年",貼り付け用!$A$2)),"")</f>
        <v/>
      </c>
      <c r="C29" s="110"/>
      <c r="D29" s="117" t="str" cm="1">
        <f t="array" aca="1" ref="D29" ca="1">INDIRECT("'盛付札（関数）'!CL"&amp;A29)</f>
        <v/>
      </c>
      <c r="E29" s="117"/>
      <c r="F29" s="117"/>
      <c r="G29" s="118"/>
      <c r="H29" s="75">
        <f>A29+1</f>
        <v>10</v>
      </c>
      <c r="I29" s="109" t="str">
        <f ca="1">IF(K29&lt;&gt;"",MID(貼り付け用!$A$2, FIND("年",貼り付け用!$A$2)+1, LEN(貼り付け用!$A$2)-FIND("年",貼り付け用!$A$2)),"")</f>
        <v/>
      </c>
      <c r="J29" s="110"/>
      <c r="K29" s="117" t="str" cm="1">
        <f t="array" aca="1" ref="K29" ca="1">INDIRECT("'盛付札（関数）'!CL"&amp;H29)</f>
        <v/>
      </c>
      <c r="L29" s="117"/>
      <c r="M29" s="117"/>
      <c r="N29" s="118"/>
      <c r="O29" s="53"/>
      <c r="P29" s="75">
        <f>W22+1</f>
        <v>21</v>
      </c>
      <c r="Q29" s="109" t="str">
        <f ca="1">IF(S29&lt;&gt;"",MID(貼り付け用!$A$2, FIND("年",貼り付け用!$A$2)+1, LEN(貼り付け用!$A$2)-FIND("年",貼り付け用!$A$2)),"")</f>
        <v/>
      </c>
      <c r="R29" s="110"/>
      <c r="S29" s="117" t="str" cm="1">
        <f t="array" aca="1" ref="S29" ca="1">INDIRECT("'盛付札（関数）'!CL"&amp;P29)</f>
        <v/>
      </c>
      <c r="T29" s="117"/>
      <c r="U29" s="117"/>
      <c r="V29" s="118"/>
      <c r="W29" s="75">
        <f>P29+1</f>
        <v>22</v>
      </c>
      <c r="X29" s="109" t="str">
        <f ca="1">IF(Z29&lt;&gt;"",MID(貼り付け用!$A$2, FIND("年",貼り付け用!$A$2)+1, LEN(貼り付け用!$A$2)-FIND("年",貼り付け用!$A$2)),"")</f>
        <v/>
      </c>
      <c r="Y29" s="110"/>
      <c r="Z29" s="117" t="str" cm="1">
        <f t="array" aca="1" ref="Z29" ca="1">INDIRECT("'盛付札（関数）'!CL"&amp;W29)</f>
        <v/>
      </c>
      <c r="AA29" s="117"/>
      <c r="AB29" s="117"/>
      <c r="AC29" s="118"/>
      <c r="AD29" s="53"/>
      <c r="AE29" s="75">
        <f>AL22+1</f>
        <v>33</v>
      </c>
      <c r="AF29" s="109" t="str">
        <f ca="1">IF(AH29&lt;&gt;"",MID(貼り付け用!$A$2, FIND("年",貼り付け用!$A$2)+1, LEN(貼り付け用!$A$2)-FIND("年",貼り付け用!$A$2)),"")</f>
        <v/>
      </c>
      <c r="AG29" s="110"/>
      <c r="AH29" s="117" t="str" cm="1">
        <f t="array" aca="1" ref="AH29" ca="1">INDIRECT("'盛付札（関数）'!CL"&amp;AE29)</f>
        <v/>
      </c>
      <c r="AI29" s="117"/>
      <c r="AJ29" s="117"/>
      <c r="AK29" s="118"/>
      <c r="AL29" s="75">
        <f>AE29+1</f>
        <v>34</v>
      </c>
      <c r="AM29" s="109" t="str">
        <f ca="1">IF(AO29&lt;&gt;"",MID(貼り付け用!$A$2, FIND("年",貼り付け用!$A$2)+1, LEN(貼り付け用!$A$2)-FIND("年",貼り付け用!$A$2)),"")</f>
        <v/>
      </c>
      <c r="AN29" s="110"/>
      <c r="AO29" s="117" t="str" cm="1">
        <f t="array" aca="1" ref="AO29" ca="1">INDIRECT("'盛付札（関数）'!CL"&amp;AL29)</f>
        <v/>
      </c>
      <c r="AP29" s="117"/>
      <c r="AQ29" s="117"/>
      <c r="AR29" s="118"/>
      <c r="AS29" s="53"/>
      <c r="AT29" s="75">
        <f>BA22+1</f>
        <v>45</v>
      </c>
      <c r="AU29" s="109" t="str">
        <f ca="1">IF(AW29&lt;&gt;"",MID(貼り付け用!$A$2, FIND("年",貼り付け用!$A$2)+1, LEN(貼り付け用!$A$2)-FIND("年",貼り付け用!$A$2)),"")</f>
        <v/>
      </c>
      <c r="AV29" s="110"/>
      <c r="AW29" s="117" t="str" cm="1">
        <f t="array" aca="1" ref="AW29" ca="1">INDIRECT("'盛付札（関数）'!CL"&amp;AT29)</f>
        <v/>
      </c>
      <c r="AX29" s="117"/>
      <c r="AY29" s="117"/>
      <c r="AZ29" s="118"/>
      <c r="BA29" s="75">
        <f>AT29+1</f>
        <v>46</v>
      </c>
      <c r="BB29" s="109" t="str">
        <f ca="1">IF(BD29&lt;&gt;"",MID(貼り付け用!$A$2, FIND("年",貼り付け用!$A$2)+1, LEN(貼り付け用!$A$2)-FIND("年",貼り付け用!$A$2)),"")</f>
        <v/>
      </c>
      <c r="BC29" s="110"/>
      <c r="BD29" s="117" t="str" cm="1">
        <f t="array" aca="1" ref="BD29" ca="1">INDIRECT("'盛付札（関数）'!CL"&amp;BA29)</f>
        <v/>
      </c>
      <c r="BE29" s="117"/>
      <c r="BF29" s="117"/>
      <c r="BG29" s="118"/>
      <c r="BH29" s="53"/>
      <c r="BI29" s="75">
        <f>BP22+1</f>
        <v>57</v>
      </c>
      <c r="BJ29" s="109" t="str">
        <f ca="1">IF(BL29&lt;&gt;"",MID(貼り付け用!$A$2, FIND("年",貼り付け用!$A$2)+1, LEN(貼り付け用!$A$2)-FIND("年",貼り付け用!$A$2)),"")</f>
        <v/>
      </c>
      <c r="BK29" s="110"/>
      <c r="BL29" s="117" t="str" cm="1">
        <f t="array" aca="1" ref="BL29" ca="1">INDIRECT("'盛付札（関数）'!CL"&amp;BI29)</f>
        <v/>
      </c>
      <c r="BM29" s="117"/>
      <c r="BN29" s="117"/>
      <c r="BO29" s="118"/>
      <c r="BP29" s="75">
        <f>BI29+1</f>
        <v>58</v>
      </c>
      <c r="BQ29" s="109" t="str">
        <f ca="1">IF(BS29&lt;&gt;"",MID(貼り付け用!$A$2, FIND("年",貼り付け用!$A$2)+1, LEN(貼り付け用!$A$2)-FIND("年",貼り付け用!$A$2)),"")</f>
        <v/>
      </c>
      <c r="BR29" s="110"/>
      <c r="BS29" s="117" t="str" cm="1">
        <f t="array" aca="1" ref="BS29" ca="1">INDIRECT("'盛付札（関数）'!CL"&amp;BP29)</f>
        <v/>
      </c>
      <c r="BT29" s="117"/>
      <c r="BU29" s="117"/>
      <c r="BV29" s="118"/>
      <c r="BW29" s="53"/>
    </row>
    <row r="30" spans="1:75" s="77" customFormat="1" ht="18" customHeight="1" x14ac:dyDescent="0.55000000000000004">
      <c r="A30" s="75"/>
      <c r="B30" s="78"/>
      <c r="C30" s="79" t="str" cm="1">
        <f t="array" aca="1" ref="C30" ca="1">INDIRECT("'盛付札（関数）'!CM"&amp;A29)</f>
        <v/>
      </c>
      <c r="D30" s="53"/>
      <c r="E30" s="53"/>
      <c r="F30" s="80" t="str" cm="1">
        <f t="array" aca="1" ref="F30" ca="1">IF(INDIRECT("'盛付札（関数）'!CN"&amp;A29)&lt;&gt;"",
INDIRECT("'盛付札（関数）'!CN"&amp;A29),INDIRECT("'盛付札（関数）'!CO"&amp;A29))</f>
        <v/>
      </c>
      <c r="G30" s="111"/>
      <c r="H30" s="75"/>
      <c r="I30" s="78"/>
      <c r="J30" s="79" t="str" cm="1">
        <f t="array" aca="1" ref="J30" ca="1">INDIRECT("'盛付札（関数）'!CM"&amp;H29)</f>
        <v/>
      </c>
      <c r="K30" s="53"/>
      <c r="L30" s="53"/>
      <c r="M30" s="80" t="str" cm="1">
        <f t="array" aca="1" ref="M30" ca="1">IF(INDIRECT("'盛付札（関数）'!CN"&amp;H29)&lt;&gt;"",
INDIRECT("'盛付札（関数）'!CN"&amp;H29),INDIRECT("'盛付札（関数）'!CO"&amp;H29))</f>
        <v/>
      </c>
      <c r="N30" s="111"/>
      <c r="O30" s="53"/>
      <c r="P30" s="75"/>
      <c r="Q30" s="78"/>
      <c r="R30" s="79" t="str" cm="1">
        <f t="array" aca="1" ref="R30" ca="1">INDIRECT("'盛付札（関数）'!CM"&amp;P29)</f>
        <v/>
      </c>
      <c r="S30" s="53"/>
      <c r="T30" s="53"/>
      <c r="U30" s="80" t="str" cm="1">
        <f t="array" aca="1" ref="U30" ca="1">IF(INDIRECT("'盛付札（関数）'!CN"&amp;P29)&lt;&gt;"",
INDIRECT("'盛付札（関数）'!CN"&amp;P29),INDIRECT("'盛付札（関数）'!CO"&amp;P29))</f>
        <v/>
      </c>
      <c r="V30" s="111"/>
      <c r="W30" s="75"/>
      <c r="X30" s="78"/>
      <c r="Y30" s="79" t="str" cm="1">
        <f t="array" aca="1" ref="Y30" ca="1">INDIRECT("'盛付札（関数）'!CM"&amp;W29)</f>
        <v/>
      </c>
      <c r="Z30" s="53"/>
      <c r="AA30" s="53"/>
      <c r="AB30" s="80" t="str" cm="1">
        <f t="array" aca="1" ref="AB30" ca="1">IF(INDIRECT("'盛付札（関数）'!CN"&amp;W29)&lt;&gt;"",
INDIRECT("'盛付札（関数）'!CN"&amp;W29),INDIRECT("'盛付札（関数）'!CO"&amp;W29))</f>
        <v/>
      </c>
      <c r="AC30" s="111"/>
      <c r="AD30" s="53"/>
      <c r="AE30" s="75"/>
      <c r="AF30" s="78"/>
      <c r="AG30" s="79" t="str" cm="1">
        <f t="array" aca="1" ref="AG30" ca="1">INDIRECT("'盛付札（関数）'!CM"&amp;AE29)</f>
        <v/>
      </c>
      <c r="AH30" s="53"/>
      <c r="AI30" s="53"/>
      <c r="AJ30" s="80" t="str" cm="1">
        <f t="array" aca="1" ref="AJ30" ca="1">IF(INDIRECT("'盛付札（関数）'!CN"&amp;AE29)&lt;&gt;"",
INDIRECT("'盛付札（関数）'!CN"&amp;AE29),INDIRECT("'盛付札（関数）'!CO"&amp;AE29))</f>
        <v/>
      </c>
      <c r="AK30" s="111"/>
      <c r="AL30" s="75"/>
      <c r="AM30" s="78"/>
      <c r="AN30" s="79" t="str" cm="1">
        <f t="array" aca="1" ref="AN30" ca="1">INDIRECT("'盛付札（関数）'!CM"&amp;AL29)</f>
        <v/>
      </c>
      <c r="AO30" s="53"/>
      <c r="AP30" s="53"/>
      <c r="AQ30" s="80" t="str" cm="1">
        <f t="array" aca="1" ref="AQ30" ca="1">IF(INDIRECT("'盛付札（関数）'!CN"&amp;AL29)&lt;&gt;"",
INDIRECT("'盛付札（関数）'!CN"&amp;AL29),INDIRECT("'盛付札（関数）'!CO"&amp;AL29))</f>
        <v/>
      </c>
      <c r="AR30" s="111"/>
      <c r="AS30" s="53"/>
      <c r="AT30" s="75"/>
      <c r="AU30" s="78"/>
      <c r="AV30" s="79" t="str" cm="1">
        <f t="array" aca="1" ref="AV30" ca="1">INDIRECT("'盛付札（関数）'!CM"&amp;AT29)</f>
        <v/>
      </c>
      <c r="AW30" s="53"/>
      <c r="AX30" s="53"/>
      <c r="AY30" s="80" t="str" cm="1">
        <f t="array" aca="1" ref="AY30" ca="1">IF(INDIRECT("'盛付札（関数）'!CN"&amp;AT29)&lt;&gt;"",
INDIRECT("'盛付札（関数）'!CN"&amp;AT29),INDIRECT("'盛付札（関数）'!CO"&amp;AT29))</f>
        <v/>
      </c>
      <c r="AZ30" s="111"/>
      <c r="BA30" s="75"/>
      <c r="BB30" s="78"/>
      <c r="BC30" s="79" t="str" cm="1">
        <f t="array" aca="1" ref="BC30" ca="1">INDIRECT("'盛付札（関数）'!CM"&amp;BA29)</f>
        <v/>
      </c>
      <c r="BD30" s="53"/>
      <c r="BE30" s="53"/>
      <c r="BF30" s="80" t="str" cm="1">
        <f t="array" aca="1" ref="BF30" ca="1">IF(INDIRECT("'盛付札（関数）'!CN"&amp;BA29)&lt;&gt;"",
INDIRECT("'盛付札（関数）'!CN"&amp;BA29),INDIRECT("'盛付札（関数）'!CO"&amp;BA29))</f>
        <v/>
      </c>
      <c r="BG30" s="111"/>
      <c r="BH30" s="53"/>
      <c r="BI30" s="75"/>
      <c r="BJ30" s="78"/>
      <c r="BK30" s="79" t="str" cm="1">
        <f t="array" aca="1" ref="BK30" ca="1">INDIRECT("'盛付札（関数）'!CM"&amp;BI29)</f>
        <v/>
      </c>
      <c r="BL30" s="53"/>
      <c r="BM30" s="53"/>
      <c r="BN30" s="80" t="str" cm="1">
        <f t="array" aca="1" ref="BN30" ca="1">IF(INDIRECT("'盛付札（関数）'!CN"&amp;BI29)&lt;&gt;"",
INDIRECT("'盛付札（関数）'!CN"&amp;BI29),INDIRECT("'盛付札（関数）'!CO"&amp;BI29))</f>
        <v/>
      </c>
      <c r="BO30" s="111"/>
      <c r="BP30" s="75"/>
      <c r="BQ30" s="78"/>
      <c r="BR30" s="79" t="str" cm="1">
        <f t="array" aca="1" ref="BR30" ca="1">INDIRECT("'盛付札（関数）'!CM"&amp;BP29)</f>
        <v/>
      </c>
      <c r="BS30" s="53"/>
      <c r="BT30" s="53"/>
      <c r="BU30" s="80" t="str" cm="1">
        <f t="array" aca="1" ref="BU30" ca="1">IF(INDIRECT("'盛付札（関数）'!CN"&amp;BP29)&lt;&gt;"",
INDIRECT("'盛付札（関数）'!CN"&amp;BP29),INDIRECT("'盛付札（関数）'!CO"&amp;BP29))</f>
        <v/>
      </c>
      <c r="BV30" s="111"/>
      <c r="BW30" s="53"/>
    </row>
    <row r="31" spans="1:75" s="77" customFormat="1" x14ac:dyDescent="0.55000000000000004">
      <c r="A31" s="83"/>
      <c r="B31" s="81"/>
      <c r="C31" s="86" t="str">
        <f ca="1">IF(D29&lt;&gt;"","園児","")</f>
        <v/>
      </c>
      <c r="D31" s="87"/>
      <c r="E31" s="86" t="str">
        <f ca="1">IF(D29&lt;&gt;"","先生","")</f>
        <v/>
      </c>
      <c r="F31" s="87"/>
      <c r="G31" s="112"/>
      <c r="H31" s="83"/>
      <c r="I31" s="81"/>
      <c r="J31" s="86" t="str">
        <f ca="1">IF(K29&lt;&gt;"","園児","")</f>
        <v/>
      </c>
      <c r="K31" s="87"/>
      <c r="L31" s="86" t="str">
        <f ca="1">IF(K29&lt;&gt;"","先生","")</f>
        <v/>
      </c>
      <c r="M31" s="87"/>
      <c r="N31" s="112"/>
      <c r="O31" s="53"/>
      <c r="P31" s="83"/>
      <c r="Q31" s="81"/>
      <c r="R31" s="86" t="str">
        <f ca="1">IF(S29&lt;&gt;"","園児","")</f>
        <v/>
      </c>
      <c r="S31" s="87"/>
      <c r="T31" s="86" t="str">
        <f ca="1">IF(S29&lt;&gt;"","先生","")</f>
        <v/>
      </c>
      <c r="U31" s="87"/>
      <c r="V31" s="112"/>
      <c r="W31" s="83"/>
      <c r="X31" s="81"/>
      <c r="Y31" s="86" t="str">
        <f ca="1">IF(Z29&lt;&gt;"","園児","")</f>
        <v/>
      </c>
      <c r="Z31" s="87"/>
      <c r="AA31" s="86" t="str">
        <f ca="1">IF(Z29&lt;&gt;"","先生","")</f>
        <v/>
      </c>
      <c r="AB31" s="87"/>
      <c r="AC31" s="112"/>
      <c r="AD31" s="53"/>
      <c r="AE31" s="83"/>
      <c r="AF31" s="81"/>
      <c r="AG31" s="86" t="str">
        <f ca="1">IF(AH29&lt;&gt;"","園児","")</f>
        <v/>
      </c>
      <c r="AH31" s="87"/>
      <c r="AI31" s="86" t="str">
        <f ca="1">IF(AH29&lt;&gt;"","先生","")</f>
        <v/>
      </c>
      <c r="AJ31" s="87"/>
      <c r="AK31" s="112"/>
      <c r="AL31" s="83"/>
      <c r="AM31" s="81"/>
      <c r="AN31" s="86" t="str">
        <f ca="1">IF(AO29&lt;&gt;"","園児","")</f>
        <v/>
      </c>
      <c r="AO31" s="87"/>
      <c r="AP31" s="86" t="str">
        <f ca="1">IF(AO29&lt;&gt;"","先生","")</f>
        <v/>
      </c>
      <c r="AQ31" s="87"/>
      <c r="AR31" s="112"/>
      <c r="AS31" s="53"/>
      <c r="AT31" s="83"/>
      <c r="AU31" s="81"/>
      <c r="AV31" s="86" t="str">
        <f ca="1">IF(AW29&lt;&gt;"","園児","")</f>
        <v/>
      </c>
      <c r="AW31" s="87"/>
      <c r="AX31" s="86" t="str">
        <f ca="1">IF(AW29&lt;&gt;"","先生","")</f>
        <v/>
      </c>
      <c r="AY31" s="87"/>
      <c r="AZ31" s="112"/>
      <c r="BA31" s="83"/>
      <c r="BB31" s="81"/>
      <c r="BC31" s="86" t="str">
        <f ca="1">IF(BD29&lt;&gt;"","園児","")</f>
        <v/>
      </c>
      <c r="BD31" s="87"/>
      <c r="BE31" s="86" t="str">
        <f ca="1">IF(BD29&lt;&gt;"","先生","")</f>
        <v/>
      </c>
      <c r="BF31" s="87"/>
      <c r="BG31" s="112"/>
      <c r="BH31" s="53"/>
      <c r="BI31" s="83"/>
      <c r="BJ31" s="81"/>
      <c r="BK31" s="86" t="str">
        <f ca="1">IF(BL29&lt;&gt;"","園児","")</f>
        <v/>
      </c>
      <c r="BL31" s="87"/>
      <c r="BM31" s="86" t="str">
        <f ca="1">IF(BL29&lt;&gt;"","先生","")</f>
        <v/>
      </c>
      <c r="BN31" s="87"/>
      <c r="BO31" s="112"/>
      <c r="BP31" s="83"/>
      <c r="BQ31" s="81"/>
      <c r="BR31" s="86" t="str">
        <f ca="1">IF(BS29&lt;&gt;"","園児","")</f>
        <v/>
      </c>
      <c r="BS31" s="87"/>
      <c r="BT31" s="86" t="str">
        <f ca="1">IF(BS29&lt;&gt;"","先生","")</f>
        <v/>
      </c>
      <c r="BU31" s="87"/>
      <c r="BV31" s="112"/>
      <c r="BW31" s="53"/>
    </row>
    <row r="32" spans="1:75" ht="18" customHeight="1" x14ac:dyDescent="1.05">
      <c r="A32" s="58"/>
      <c r="B32" s="57"/>
      <c r="C32" s="90" t="str" cm="1">
        <f t="array" aca="1" ref="C32" ca="1">INDIRECT("'盛付札（関数）'!CP"&amp;A29)</f>
        <v/>
      </c>
      <c r="D32" s="91"/>
      <c r="E32" s="93" t="str" cm="1">
        <f t="array" aca="1" ref="E32" ca="1">INDIRECT("'盛付札（関数）'!CQ"&amp;A29)</f>
        <v/>
      </c>
      <c r="F32" s="91"/>
      <c r="G32" s="112"/>
      <c r="H32" s="58"/>
      <c r="I32" s="57"/>
      <c r="J32" s="90" t="str" cm="1">
        <f t="array" aca="1" ref="J32" ca="1">INDIRECT("'盛付札（関数）'!CP"&amp;H29)</f>
        <v/>
      </c>
      <c r="K32" s="91"/>
      <c r="L32" s="93" t="str" cm="1">
        <f t="array" aca="1" ref="L32" ca="1">INDIRECT("'盛付札（関数）'!CQ"&amp;H29)</f>
        <v/>
      </c>
      <c r="M32" s="91"/>
      <c r="N32" s="112"/>
      <c r="P32" s="58"/>
      <c r="Q32" s="57"/>
      <c r="R32" s="90" t="str" cm="1">
        <f t="array" aca="1" ref="R32" ca="1">INDIRECT("'盛付札（関数）'!CP"&amp;P29)</f>
        <v/>
      </c>
      <c r="S32" s="91"/>
      <c r="T32" s="93" t="str" cm="1">
        <f t="array" aca="1" ref="T32" ca="1">INDIRECT("'盛付札（関数）'!CQ"&amp;P29)</f>
        <v/>
      </c>
      <c r="U32" s="91"/>
      <c r="V32" s="112"/>
      <c r="W32" s="58"/>
      <c r="X32" s="57"/>
      <c r="Y32" s="90" t="str" cm="1">
        <f t="array" aca="1" ref="Y32" ca="1">INDIRECT("'盛付札（関数）'!CP"&amp;W29)</f>
        <v/>
      </c>
      <c r="Z32" s="91"/>
      <c r="AA32" s="93" t="str" cm="1">
        <f t="array" aca="1" ref="AA32" ca="1">INDIRECT("'盛付札（関数）'!CQ"&amp;W29)</f>
        <v/>
      </c>
      <c r="AB32" s="91"/>
      <c r="AC32" s="112"/>
      <c r="AE32" s="58"/>
      <c r="AF32" s="57"/>
      <c r="AG32" s="90" t="str" cm="1">
        <f t="array" aca="1" ref="AG32" ca="1">INDIRECT("'盛付札（関数）'!CP"&amp;AE29)</f>
        <v/>
      </c>
      <c r="AH32" s="91"/>
      <c r="AI32" s="93" t="str" cm="1">
        <f t="array" aca="1" ref="AI32" ca="1">INDIRECT("'盛付札（関数）'!CQ"&amp;AE29)</f>
        <v/>
      </c>
      <c r="AJ32" s="91"/>
      <c r="AK32" s="112"/>
      <c r="AL32" s="58"/>
      <c r="AM32" s="57"/>
      <c r="AN32" s="90" t="str" cm="1">
        <f t="array" aca="1" ref="AN32" ca="1">INDIRECT("'盛付札（関数）'!CP"&amp;AL29)</f>
        <v/>
      </c>
      <c r="AO32" s="91"/>
      <c r="AP32" s="93" t="str" cm="1">
        <f t="array" aca="1" ref="AP32" ca="1">INDIRECT("'盛付札（関数）'!CQ"&amp;AL29)</f>
        <v/>
      </c>
      <c r="AQ32" s="91"/>
      <c r="AR32" s="112"/>
      <c r="AT32" s="58"/>
      <c r="AU32" s="57"/>
      <c r="AV32" s="90" t="str" cm="1">
        <f t="array" aca="1" ref="AV32" ca="1">INDIRECT("'盛付札（関数）'!CP"&amp;AT29)</f>
        <v/>
      </c>
      <c r="AW32" s="91"/>
      <c r="AX32" s="93" t="str" cm="1">
        <f t="array" aca="1" ref="AX32" ca="1">INDIRECT("'盛付札（関数）'!CQ"&amp;AT29)</f>
        <v/>
      </c>
      <c r="AY32" s="91"/>
      <c r="AZ32" s="112"/>
      <c r="BA32" s="58"/>
      <c r="BB32" s="57"/>
      <c r="BC32" s="90" t="str" cm="1">
        <f t="array" aca="1" ref="BC32" ca="1">INDIRECT("'盛付札（関数）'!CP"&amp;BA29)</f>
        <v/>
      </c>
      <c r="BD32" s="91"/>
      <c r="BE32" s="93" t="str" cm="1">
        <f t="array" aca="1" ref="BE32" ca="1">INDIRECT("'盛付札（関数）'!CQ"&amp;BA29)</f>
        <v/>
      </c>
      <c r="BF32" s="91"/>
      <c r="BG32" s="112"/>
      <c r="BI32" s="58"/>
      <c r="BJ32" s="57"/>
      <c r="BK32" s="90" t="str" cm="1">
        <f t="array" aca="1" ref="BK32" ca="1">INDIRECT("'盛付札（関数）'!CP"&amp;BI29)</f>
        <v/>
      </c>
      <c r="BL32" s="91"/>
      <c r="BM32" s="93" t="str" cm="1">
        <f t="array" aca="1" ref="BM32" ca="1">INDIRECT("'盛付札（関数）'!CQ"&amp;BI29)</f>
        <v/>
      </c>
      <c r="BN32" s="91"/>
      <c r="BO32" s="112"/>
      <c r="BP32" s="58"/>
      <c r="BQ32" s="57"/>
      <c r="BR32" s="90" t="str" cm="1">
        <f t="array" aca="1" ref="BR32" ca="1">INDIRECT("'盛付札（関数）'!CP"&amp;BP29)</f>
        <v/>
      </c>
      <c r="BS32" s="91"/>
      <c r="BT32" s="93" t="str" cm="1">
        <f t="array" aca="1" ref="BT32" ca="1">INDIRECT("'盛付札（関数）'!CQ"&amp;BP29)</f>
        <v/>
      </c>
      <c r="BU32" s="91"/>
      <c r="BV32" s="112"/>
    </row>
    <row r="33" spans="1:75" ht="18" customHeight="1" x14ac:dyDescent="0.45">
      <c r="A33" s="58"/>
      <c r="B33" s="59"/>
      <c r="C33" s="92"/>
      <c r="D33" s="92"/>
      <c r="E33" s="92"/>
      <c r="F33" s="92"/>
      <c r="G33" s="113"/>
      <c r="H33" s="58"/>
      <c r="I33" s="59"/>
      <c r="J33" s="92"/>
      <c r="K33" s="92"/>
      <c r="L33" s="92"/>
      <c r="M33" s="92"/>
      <c r="N33" s="113"/>
      <c r="P33" s="58"/>
      <c r="Q33" s="59"/>
      <c r="R33" s="92"/>
      <c r="S33" s="92"/>
      <c r="T33" s="92"/>
      <c r="U33" s="92"/>
      <c r="V33" s="113"/>
      <c r="W33" s="58"/>
      <c r="X33" s="59"/>
      <c r="Y33" s="92"/>
      <c r="Z33" s="92"/>
      <c r="AA33" s="92"/>
      <c r="AB33" s="92"/>
      <c r="AC33" s="113"/>
      <c r="AE33" s="58"/>
      <c r="AF33" s="59"/>
      <c r="AG33" s="92"/>
      <c r="AH33" s="92"/>
      <c r="AI33" s="92"/>
      <c r="AJ33" s="92"/>
      <c r="AK33" s="113"/>
      <c r="AL33" s="58"/>
      <c r="AM33" s="59"/>
      <c r="AN33" s="92"/>
      <c r="AO33" s="92"/>
      <c r="AP33" s="92"/>
      <c r="AQ33" s="92"/>
      <c r="AR33" s="113"/>
      <c r="AT33" s="58"/>
      <c r="AU33" s="59"/>
      <c r="AV33" s="92"/>
      <c r="AW33" s="92"/>
      <c r="AX33" s="92"/>
      <c r="AY33" s="92"/>
      <c r="AZ33" s="113"/>
      <c r="BA33" s="58"/>
      <c r="BB33" s="59"/>
      <c r="BC33" s="92"/>
      <c r="BD33" s="92"/>
      <c r="BE33" s="92"/>
      <c r="BF33" s="92"/>
      <c r="BG33" s="113"/>
      <c r="BI33" s="58"/>
      <c r="BJ33" s="59"/>
      <c r="BK33" s="92"/>
      <c r="BL33" s="92"/>
      <c r="BM33" s="92"/>
      <c r="BN33" s="92"/>
      <c r="BO33" s="113"/>
      <c r="BP33" s="58"/>
      <c r="BQ33" s="59"/>
      <c r="BR33" s="92"/>
      <c r="BS33" s="92"/>
      <c r="BT33" s="92"/>
      <c r="BU33" s="92"/>
      <c r="BV33" s="113"/>
    </row>
    <row r="34" spans="1:75" s="77" customFormat="1" x14ac:dyDescent="0.55000000000000004">
      <c r="A34" s="53"/>
      <c r="B34" s="84" t="str">
        <f ca="1">IF(D29&lt;&gt;"","パン箱","")</f>
        <v/>
      </c>
      <c r="C34" s="82" t="str" cm="1">
        <f t="array" aca="1" ref="C34" ca="1">INDIRECT("'盛付札（関数）'!CR"&amp;A29)</f>
        <v/>
      </c>
      <c r="D34" s="84" t="str">
        <f ca="1">IF(D29&lt;&gt;"","端数","")</f>
        <v/>
      </c>
      <c r="E34" s="82"/>
      <c r="F34" s="84" t="str">
        <f ca="1">IF(D29&lt;&gt;"","アレルギー","")</f>
        <v/>
      </c>
      <c r="G34" s="112"/>
      <c r="H34" s="53"/>
      <c r="I34" s="84" t="str">
        <f ca="1">IF(K29&lt;&gt;"","パン箱","")</f>
        <v/>
      </c>
      <c r="J34" s="82" t="str" cm="1">
        <f t="array" aca="1" ref="J34" ca="1">INDIRECT("'盛付札（関数）'!CR"&amp;H29)</f>
        <v/>
      </c>
      <c r="K34" s="84" t="str">
        <f ca="1">IF(K29&lt;&gt;"","端数","")</f>
        <v/>
      </c>
      <c r="L34" s="82"/>
      <c r="M34" s="84" t="str">
        <f ca="1">IF(K29&lt;&gt;"","アレルギー","")</f>
        <v/>
      </c>
      <c r="N34" s="112"/>
      <c r="O34" s="53"/>
      <c r="P34" s="53"/>
      <c r="Q34" s="84" t="str">
        <f ca="1">IF(S29&lt;&gt;"","パン箱","")</f>
        <v/>
      </c>
      <c r="R34" s="82" t="str" cm="1">
        <f t="array" aca="1" ref="R34" ca="1">INDIRECT("'盛付札（関数）'!CR"&amp;P29)</f>
        <v/>
      </c>
      <c r="S34" s="84" t="str">
        <f ca="1">IF(S29&lt;&gt;"","端数","")</f>
        <v/>
      </c>
      <c r="T34" s="82"/>
      <c r="U34" s="84" t="str">
        <f ca="1">IF(S29&lt;&gt;"","アレルギー","")</f>
        <v/>
      </c>
      <c r="V34" s="112"/>
      <c r="W34" s="53"/>
      <c r="X34" s="84" t="str">
        <f ca="1">IF(Z29&lt;&gt;"","パン箱","")</f>
        <v/>
      </c>
      <c r="Y34" s="82" t="str" cm="1">
        <f t="array" aca="1" ref="Y34" ca="1">INDIRECT("'盛付札（関数）'!CR"&amp;W29)</f>
        <v/>
      </c>
      <c r="Z34" s="84" t="str">
        <f ca="1">IF(Z29&lt;&gt;"","端数","")</f>
        <v/>
      </c>
      <c r="AA34" s="82"/>
      <c r="AB34" s="84" t="str">
        <f ca="1">IF(Z29&lt;&gt;"","アレルギー","")</f>
        <v/>
      </c>
      <c r="AC34" s="112"/>
      <c r="AD34" s="53"/>
      <c r="AE34" s="53"/>
      <c r="AF34" s="84" t="str">
        <f ca="1">IF(AH29&lt;&gt;"","パン箱","")</f>
        <v/>
      </c>
      <c r="AG34" s="82" t="str" cm="1">
        <f t="array" aca="1" ref="AG34" ca="1">INDIRECT("'盛付札（関数）'!CR"&amp;AE29)</f>
        <v/>
      </c>
      <c r="AH34" s="84" t="str">
        <f ca="1">IF(AH29&lt;&gt;"","端数","")</f>
        <v/>
      </c>
      <c r="AI34" s="82"/>
      <c r="AJ34" s="84" t="str">
        <f ca="1">IF(AH29&lt;&gt;"","アレルギー","")</f>
        <v/>
      </c>
      <c r="AK34" s="112"/>
      <c r="AL34" s="53"/>
      <c r="AM34" s="84" t="str">
        <f ca="1">IF(AO29&lt;&gt;"","パン箱","")</f>
        <v/>
      </c>
      <c r="AN34" s="82" t="str" cm="1">
        <f t="array" aca="1" ref="AN34" ca="1">INDIRECT("'盛付札（関数）'!CR"&amp;AL29)</f>
        <v/>
      </c>
      <c r="AO34" s="84" t="str">
        <f ca="1">IF(AO29&lt;&gt;"","端数","")</f>
        <v/>
      </c>
      <c r="AP34" s="82"/>
      <c r="AQ34" s="84" t="str">
        <f ca="1">IF(AO29&lt;&gt;"","アレルギー","")</f>
        <v/>
      </c>
      <c r="AR34" s="112"/>
      <c r="AS34" s="53"/>
      <c r="AT34" s="53"/>
      <c r="AU34" s="84" t="str">
        <f ca="1">IF(AW29&lt;&gt;"","パン箱","")</f>
        <v/>
      </c>
      <c r="AV34" s="82" t="str" cm="1">
        <f t="array" aca="1" ref="AV34" ca="1">INDIRECT("'盛付札（関数）'!CR"&amp;AT29)</f>
        <v/>
      </c>
      <c r="AW34" s="84" t="str">
        <f ca="1">IF(AW29&lt;&gt;"","端数","")</f>
        <v/>
      </c>
      <c r="AX34" s="82"/>
      <c r="AY34" s="84" t="str">
        <f ca="1">IF(AW29&lt;&gt;"","アレルギー","")</f>
        <v/>
      </c>
      <c r="AZ34" s="112"/>
      <c r="BA34" s="53"/>
      <c r="BB34" s="84" t="str">
        <f ca="1">IF(BD29&lt;&gt;"","パン箱","")</f>
        <v/>
      </c>
      <c r="BC34" s="82" t="str" cm="1">
        <f t="array" aca="1" ref="BC34" ca="1">INDIRECT("'盛付札（関数）'!CR"&amp;BA29)</f>
        <v/>
      </c>
      <c r="BD34" s="84" t="str">
        <f ca="1">IF(BD29&lt;&gt;"","端数","")</f>
        <v/>
      </c>
      <c r="BE34" s="82"/>
      <c r="BF34" s="84" t="str">
        <f ca="1">IF(BD29&lt;&gt;"","アレルギー","")</f>
        <v/>
      </c>
      <c r="BG34" s="112"/>
      <c r="BH34" s="53"/>
      <c r="BI34" s="53"/>
      <c r="BJ34" s="84" t="str">
        <f ca="1">IF(BL29&lt;&gt;"","パン箱","")</f>
        <v/>
      </c>
      <c r="BK34" s="82" t="str" cm="1">
        <f t="array" aca="1" ref="BK34" ca="1">INDIRECT("'盛付札（関数）'!CR"&amp;BI29)</f>
        <v/>
      </c>
      <c r="BL34" s="84" t="str">
        <f ca="1">IF(BL29&lt;&gt;"","端数","")</f>
        <v/>
      </c>
      <c r="BM34" s="82"/>
      <c r="BN34" s="84" t="str">
        <f ca="1">IF(BL29&lt;&gt;"","アレルギー","")</f>
        <v/>
      </c>
      <c r="BO34" s="112"/>
      <c r="BP34" s="53"/>
      <c r="BQ34" s="84" t="str">
        <f ca="1">IF(BS29&lt;&gt;"","パン箱","")</f>
        <v/>
      </c>
      <c r="BR34" s="82" t="str" cm="1">
        <f t="array" aca="1" ref="BR34" ca="1">INDIRECT("'盛付札（関数）'!CR"&amp;BP29)</f>
        <v/>
      </c>
      <c r="BS34" s="84" t="str">
        <f ca="1">IF(BS29&lt;&gt;"","端数","")</f>
        <v/>
      </c>
      <c r="BT34" s="82"/>
      <c r="BU34" s="84" t="str">
        <f ca="1">IF(BS29&lt;&gt;"","アレルギー","")</f>
        <v/>
      </c>
      <c r="BV34" s="112"/>
      <c r="BW34" s="53"/>
    </row>
    <row r="35" spans="1:75" ht="21" customHeight="1" x14ac:dyDescent="0.45">
      <c r="B35" s="97" t="str" cm="1">
        <f t="array" aca="1" ref="B35" ca="1">INDIRECT("'盛付札（関数）'!CS"&amp;A29)</f>
        <v/>
      </c>
      <c r="C35" s="95"/>
      <c r="D35" s="97" t="str" cm="1">
        <f t="array" aca="1" ref="D35" ca="1">INDIRECT("'盛付札（関数）'!CT"&amp;A29)</f>
        <v/>
      </c>
      <c r="E35" s="95"/>
      <c r="F35" s="94" t="str" cm="1">
        <f t="array" aca="1" ref="F35" ca="1">INDIRECT("'盛付札（関数）'!CU"&amp;A29)</f>
        <v/>
      </c>
      <c r="G35" s="95"/>
      <c r="I35" s="97" t="str" cm="1">
        <f t="array" aca="1" ref="I35" ca="1">INDIRECT("'盛付札（関数）'!CS"&amp;H29)</f>
        <v/>
      </c>
      <c r="J35" s="95"/>
      <c r="K35" s="97" t="str" cm="1">
        <f t="array" aca="1" ref="K35" ca="1">INDIRECT("'盛付札（関数）'!CT"&amp;H29)</f>
        <v/>
      </c>
      <c r="L35" s="95"/>
      <c r="M35" s="94" t="str" cm="1">
        <f t="array" aca="1" ref="M35" ca="1">INDIRECT("'盛付札（関数）'!CU"&amp;H29)</f>
        <v/>
      </c>
      <c r="N35" s="95"/>
      <c r="Q35" s="97" t="str" cm="1">
        <f t="array" aca="1" ref="Q35" ca="1">INDIRECT("'盛付札（関数）'!CS"&amp;P29)</f>
        <v/>
      </c>
      <c r="R35" s="95"/>
      <c r="S35" s="97" t="str" cm="1">
        <f t="array" aca="1" ref="S35" ca="1">INDIRECT("'盛付札（関数）'!CT"&amp;P29)</f>
        <v/>
      </c>
      <c r="T35" s="95"/>
      <c r="U35" s="94" t="str" cm="1">
        <f t="array" aca="1" ref="U35" ca="1">INDIRECT("'盛付札（関数）'!CU"&amp;P29)</f>
        <v/>
      </c>
      <c r="V35" s="95"/>
      <c r="X35" s="97" t="str" cm="1">
        <f t="array" aca="1" ref="X35" ca="1">INDIRECT("'盛付札（関数）'!CS"&amp;W29)</f>
        <v/>
      </c>
      <c r="Y35" s="95"/>
      <c r="Z35" s="97" t="str" cm="1">
        <f t="array" aca="1" ref="Z35" ca="1">INDIRECT("'盛付札（関数）'!CT"&amp;W29)</f>
        <v/>
      </c>
      <c r="AA35" s="95"/>
      <c r="AB35" s="94" t="str" cm="1">
        <f t="array" aca="1" ref="AB35" ca="1">INDIRECT("'盛付札（関数）'!CU"&amp;W29)</f>
        <v/>
      </c>
      <c r="AC35" s="95"/>
      <c r="AF35" s="97" t="str" cm="1">
        <f t="array" aca="1" ref="AF35" ca="1">INDIRECT("'盛付札（関数）'!CS"&amp;AE29)</f>
        <v/>
      </c>
      <c r="AG35" s="95"/>
      <c r="AH35" s="97" t="str" cm="1">
        <f t="array" aca="1" ref="AH35" ca="1">INDIRECT("'盛付札（関数）'!CT"&amp;AE29)</f>
        <v/>
      </c>
      <c r="AI35" s="95"/>
      <c r="AJ35" s="94" t="str" cm="1">
        <f t="array" aca="1" ref="AJ35" ca="1">INDIRECT("'盛付札（関数）'!CU"&amp;AE29)</f>
        <v/>
      </c>
      <c r="AK35" s="95"/>
      <c r="AM35" s="97" t="str" cm="1">
        <f t="array" aca="1" ref="AM35" ca="1">INDIRECT("'盛付札（関数）'!CS"&amp;AL29)</f>
        <v/>
      </c>
      <c r="AN35" s="95"/>
      <c r="AO35" s="97" t="str" cm="1">
        <f t="array" aca="1" ref="AO35" ca="1">INDIRECT("'盛付札（関数）'!CT"&amp;AL29)</f>
        <v/>
      </c>
      <c r="AP35" s="95"/>
      <c r="AQ35" s="94" t="str" cm="1">
        <f t="array" aca="1" ref="AQ35" ca="1">INDIRECT("'盛付札（関数）'!CU"&amp;AL29)</f>
        <v/>
      </c>
      <c r="AR35" s="95"/>
      <c r="AU35" s="97" t="str" cm="1">
        <f t="array" aca="1" ref="AU35" ca="1">INDIRECT("'盛付札（関数）'!CS"&amp;AT29)</f>
        <v/>
      </c>
      <c r="AV35" s="95"/>
      <c r="AW35" s="97" t="str" cm="1">
        <f t="array" aca="1" ref="AW35" ca="1">INDIRECT("'盛付札（関数）'!CT"&amp;AT29)</f>
        <v/>
      </c>
      <c r="AX35" s="95"/>
      <c r="AY35" s="94" t="str" cm="1">
        <f t="array" aca="1" ref="AY35" ca="1">INDIRECT("'盛付札（関数）'!CU"&amp;AT29)</f>
        <v/>
      </c>
      <c r="AZ35" s="95"/>
      <c r="BB35" s="97" t="str" cm="1">
        <f t="array" aca="1" ref="BB35" ca="1">INDIRECT("'盛付札（関数）'!CS"&amp;BA29)</f>
        <v/>
      </c>
      <c r="BC35" s="95"/>
      <c r="BD35" s="97" t="str" cm="1">
        <f t="array" aca="1" ref="BD35" ca="1">INDIRECT("'盛付札（関数）'!CT"&amp;BA29)</f>
        <v/>
      </c>
      <c r="BE35" s="95"/>
      <c r="BF35" s="94" t="str" cm="1">
        <f t="array" aca="1" ref="BF35" ca="1">INDIRECT("'盛付札（関数）'!CU"&amp;BA29)</f>
        <v/>
      </c>
      <c r="BG35" s="95"/>
      <c r="BJ35" s="97" t="str" cm="1">
        <f t="array" aca="1" ref="BJ35" ca="1">INDIRECT("'盛付札（関数）'!CS"&amp;BI29)</f>
        <v/>
      </c>
      <c r="BK35" s="95"/>
      <c r="BL35" s="97" t="str" cm="1">
        <f t="array" aca="1" ref="BL35" ca="1">INDIRECT("'盛付札（関数）'!CT"&amp;BI29)</f>
        <v/>
      </c>
      <c r="BM35" s="95"/>
      <c r="BN35" s="94" t="str" cm="1">
        <f t="array" aca="1" ref="BN35" ca="1">INDIRECT("'盛付札（関数）'!CU"&amp;BI29)</f>
        <v/>
      </c>
      <c r="BO35" s="95"/>
      <c r="BQ35" s="97" t="str" cm="1">
        <f t="array" aca="1" ref="BQ35" ca="1">INDIRECT("'盛付札（関数）'!CS"&amp;BP29)</f>
        <v/>
      </c>
      <c r="BR35" s="95"/>
      <c r="BS35" s="97" t="str" cm="1">
        <f t="array" aca="1" ref="BS35" ca="1">INDIRECT("'盛付札（関数）'!CT"&amp;BP29)</f>
        <v/>
      </c>
      <c r="BT35" s="95"/>
      <c r="BU35" s="94" t="str" cm="1">
        <f t="array" aca="1" ref="BU35" ca="1">INDIRECT("'盛付札（関数）'!CU"&amp;BP29)</f>
        <v/>
      </c>
      <c r="BV35" s="95"/>
    </row>
    <row r="36" spans="1:75" s="77" customFormat="1" ht="19.2" customHeight="1" x14ac:dyDescent="0.55000000000000004">
      <c r="A36" s="75">
        <f>H29+1</f>
        <v>11</v>
      </c>
      <c r="B36" s="109" t="str">
        <f ca="1">IF(D36&lt;&gt;"",MID(貼り付け用!$A$2, FIND("年",貼り付け用!$A$2)+1, LEN(貼り付け用!$A$2)-FIND("年",貼り付け用!$A$2)),"")</f>
        <v/>
      </c>
      <c r="C36" s="110"/>
      <c r="D36" s="117" t="str" cm="1">
        <f t="array" aca="1" ref="D36" ca="1">INDIRECT("'盛付札（関数）'!CL"&amp;A36)</f>
        <v/>
      </c>
      <c r="E36" s="117"/>
      <c r="F36" s="117"/>
      <c r="G36" s="118"/>
      <c r="H36" s="75">
        <f>A36+1</f>
        <v>12</v>
      </c>
      <c r="I36" s="109" t="str">
        <f ca="1">IF(K36&lt;&gt;"",MID(貼り付け用!$A$2, FIND("年",貼り付け用!$A$2)+1, LEN(貼り付け用!$A$2)-FIND("年",貼り付け用!$A$2)),"")</f>
        <v/>
      </c>
      <c r="J36" s="110"/>
      <c r="K36" s="117" t="str" cm="1">
        <f t="array" aca="1" ref="K36" ca="1">INDIRECT("'盛付札（関数）'!CL"&amp;H36)</f>
        <v/>
      </c>
      <c r="L36" s="117"/>
      <c r="M36" s="117"/>
      <c r="N36" s="118"/>
      <c r="O36" s="53"/>
      <c r="P36" s="75">
        <f>W29+1</f>
        <v>23</v>
      </c>
      <c r="Q36" s="109" t="str">
        <f ca="1">IF(S36&lt;&gt;"",MID(貼り付け用!$A$2, FIND("年",貼り付け用!$A$2)+1, LEN(貼り付け用!$A$2)-FIND("年",貼り付け用!$A$2)),"")</f>
        <v/>
      </c>
      <c r="R36" s="110"/>
      <c r="S36" s="117" t="str" cm="1">
        <f t="array" aca="1" ref="S36" ca="1">INDIRECT("'盛付札（関数）'!CL"&amp;P36)</f>
        <v/>
      </c>
      <c r="T36" s="117"/>
      <c r="U36" s="117"/>
      <c r="V36" s="118"/>
      <c r="W36" s="75">
        <f>P36+1</f>
        <v>24</v>
      </c>
      <c r="X36" s="109" t="str">
        <f ca="1">IF(Z36&lt;&gt;"",MID(貼り付け用!$A$2, FIND("年",貼り付け用!$A$2)+1, LEN(貼り付け用!$A$2)-FIND("年",貼り付け用!$A$2)),"")</f>
        <v/>
      </c>
      <c r="Y36" s="110"/>
      <c r="Z36" s="117" t="str" cm="1">
        <f t="array" aca="1" ref="Z36" ca="1">INDIRECT("'盛付札（関数）'!CL"&amp;W36)</f>
        <v/>
      </c>
      <c r="AA36" s="117"/>
      <c r="AB36" s="117"/>
      <c r="AC36" s="118"/>
      <c r="AD36" s="53"/>
      <c r="AE36" s="75">
        <f>AL29+1</f>
        <v>35</v>
      </c>
      <c r="AF36" s="109" t="str">
        <f ca="1">IF(AH36&lt;&gt;"",MID(貼り付け用!$A$2, FIND("年",貼り付け用!$A$2)+1, LEN(貼り付け用!$A$2)-FIND("年",貼り付け用!$A$2)),"")</f>
        <v/>
      </c>
      <c r="AG36" s="110"/>
      <c r="AH36" s="117" t="str" cm="1">
        <f t="array" aca="1" ref="AH36" ca="1">INDIRECT("'盛付札（関数）'!CL"&amp;AE36)</f>
        <v/>
      </c>
      <c r="AI36" s="117"/>
      <c r="AJ36" s="117"/>
      <c r="AK36" s="118"/>
      <c r="AL36" s="75">
        <f>AE36+1</f>
        <v>36</v>
      </c>
      <c r="AM36" s="109" t="str">
        <f ca="1">IF(AO36&lt;&gt;"",MID(貼り付け用!$A$2, FIND("年",貼り付け用!$A$2)+1, LEN(貼り付け用!$A$2)-FIND("年",貼り付け用!$A$2)),"")</f>
        <v/>
      </c>
      <c r="AN36" s="110"/>
      <c r="AO36" s="117" t="str" cm="1">
        <f t="array" aca="1" ref="AO36" ca="1">INDIRECT("'盛付札（関数）'!CL"&amp;AL36)</f>
        <v/>
      </c>
      <c r="AP36" s="117"/>
      <c r="AQ36" s="117"/>
      <c r="AR36" s="118"/>
      <c r="AS36" s="53"/>
      <c r="AT36" s="75">
        <f>BA29+1</f>
        <v>47</v>
      </c>
      <c r="AU36" s="109" t="str">
        <f ca="1">IF(AW36&lt;&gt;"",MID(貼り付け用!$A$2, FIND("年",貼り付け用!$A$2)+1, LEN(貼り付け用!$A$2)-FIND("年",貼り付け用!$A$2)),"")</f>
        <v/>
      </c>
      <c r="AV36" s="110"/>
      <c r="AW36" s="117" t="str" cm="1">
        <f t="array" aca="1" ref="AW36" ca="1">INDIRECT("'盛付札（関数）'!CL"&amp;AT36)</f>
        <v/>
      </c>
      <c r="AX36" s="117"/>
      <c r="AY36" s="117"/>
      <c r="AZ36" s="118"/>
      <c r="BA36" s="75">
        <f>AT36+1</f>
        <v>48</v>
      </c>
      <c r="BB36" s="109" t="str">
        <f ca="1">IF(BD36&lt;&gt;"",MID(貼り付け用!$A$2, FIND("年",貼り付け用!$A$2)+1, LEN(貼り付け用!$A$2)-FIND("年",貼り付け用!$A$2)),"")</f>
        <v/>
      </c>
      <c r="BC36" s="110"/>
      <c r="BD36" s="117" t="str" cm="1">
        <f t="array" aca="1" ref="BD36" ca="1">INDIRECT("'盛付札（関数）'!CL"&amp;BA36)</f>
        <v/>
      </c>
      <c r="BE36" s="117"/>
      <c r="BF36" s="117"/>
      <c r="BG36" s="118"/>
      <c r="BH36" s="53"/>
      <c r="BI36" s="75">
        <f>BP29+1</f>
        <v>59</v>
      </c>
      <c r="BJ36" s="109" t="str">
        <f ca="1">IF(BL36&lt;&gt;"",MID(貼り付け用!$A$2, FIND("年",貼り付け用!$A$2)+1, LEN(貼り付け用!$A$2)-FIND("年",貼り付け用!$A$2)),"")</f>
        <v/>
      </c>
      <c r="BK36" s="110"/>
      <c r="BL36" s="117" t="str" cm="1">
        <f t="array" aca="1" ref="BL36" ca="1">INDIRECT("'盛付札（関数）'!CL"&amp;BI36)</f>
        <v/>
      </c>
      <c r="BM36" s="117"/>
      <c r="BN36" s="117"/>
      <c r="BO36" s="118"/>
      <c r="BP36" s="75">
        <f>BI36+1</f>
        <v>60</v>
      </c>
      <c r="BQ36" s="109" t="str">
        <f ca="1">IF(BS36&lt;&gt;"",MID(貼り付け用!$A$2, FIND("年",貼り付け用!$A$2)+1, LEN(貼り付け用!$A$2)-FIND("年",貼り付け用!$A$2)),"")</f>
        <v/>
      </c>
      <c r="BR36" s="110"/>
      <c r="BS36" s="117" t="str" cm="1">
        <f t="array" aca="1" ref="BS36" ca="1">INDIRECT("'盛付札（関数）'!CL"&amp;BP36)</f>
        <v/>
      </c>
      <c r="BT36" s="117"/>
      <c r="BU36" s="117"/>
      <c r="BV36" s="118"/>
      <c r="BW36" s="53"/>
    </row>
    <row r="37" spans="1:75" s="77" customFormat="1" ht="19.2" customHeight="1" x14ac:dyDescent="0.55000000000000004">
      <c r="A37" s="75"/>
      <c r="B37" s="78"/>
      <c r="C37" s="79" t="str" cm="1">
        <f t="array" aca="1" ref="C37" ca="1">INDIRECT("'盛付札（関数）'!CM"&amp;A36)</f>
        <v/>
      </c>
      <c r="D37" s="53"/>
      <c r="E37" s="53"/>
      <c r="F37" s="80" t="str" cm="1">
        <f t="array" aca="1" ref="F37" ca="1">IF(INDIRECT("'盛付札（関数）'!CN"&amp;A36)&lt;&gt;"",
INDIRECT("'盛付札（関数）'!CN"&amp;A36),INDIRECT("'盛付札（関数）'!CO"&amp;A36))</f>
        <v/>
      </c>
      <c r="G37" s="111"/>
      <c r="H37" s="75"/>
      <c r="I37" s="78"/>
      <c r="J37" s="79" t="str" cm="1">
        <f t="array" aca="1" ref="J37" ca="1">INDIRECT("'盛付札（関数）'!CM"&amp;H36)</f>
        <v/>
      </c>
      <c r="K37" s="53"/>
      <c r="L37" s="53"/>
      <c r="M37" s="80" t="str" cm="1">
        <f t="array" aca="1" ref="M37" ca="1">IF(INDIRECT("'盛付札（関数）'!CN"&amp;H36)&lt;&gt;"",
INDIRECT("'盛付札（関数）'!CN"&amp;H36),INDIRECT("'盛付札（関数）'!CO"&amp;H36))</f>
        <v/>
      </c>
      <c r="N37" s="111"/>
      <c r="O37" s="53"/>
      <c r="P37" s="75"/>
      <c r="Q37" s="78"/>
      <c r="R37" s="79" t="str" cm="1">
        <f t="array" aca="1" ref="R37" ca="1">INDIRECT("'盛付札（関数）'!CM"&amp;P36)</f>
        <v/>
      </c>
      <c r="S37" s="53"/>
      <c r="T37" s="53"/>
      <c r="U37" s="80" t="str" cm="1">
        <f t="array" aca="1" ref="U37" ca="1">IF(INDIRECT("'盛付札（関数）'!CN"&amp;P36)&lt;&gt;"",
INDIRECT("'盛付札（関数）'!CN"&amp;P36),INDIRECT("'盛付札（関数）'!CO"&amp;P36))</f>
        <v/>
      </c>
      <c r="V37" s="111"/>
      <c r="W37" s="75"/>
      <c r="X37" s="78"/>
      <c r="Y37" s="79" t="str" cm="1">
        <f t="array" aca="1" ref="Y37" ca="1">INDIRECT("'盛付札（関数）'!CM"&amp;W36)</f>
        <v/>
      </c>
      <c r="Z37" s="53"/>
      <c r="AA37" s="53"/>
      <c r="AB37" s="80" t="str" cm="1">
        <f t="array" aca="1" ref="AB37" ca="1">IF(INDIRECT("'盛付札（関数）'!CN"&amp;W36)&lt;&gt;"",
INDIRECT("'盛付札（関数）'!CN"&amp;W36),INDIRECT("'盛付札（関数）'!CO"&amp;W36))</f>
        <v/>
      </c>
      <c r="AC37" s="111"/>
      <c r="AD37" s="53"/>
      <c r="AE37" s="75"/>
      <c r="AF37" s="78"/>
      <c r="AG37" s="79" t="str" cm="1">
        <f t="array" aca="1" ref="AG37" ca="1">INDIRECT("'盛付札（関数）'!CM"&amp;AE36)</f>
        <v/>
      </c>
      <c r="AH37" s="53"/>
      <c r="AI37" s="53"/>
      <c r="AJ37" s="80" t="str" cm="1">
        <f t="array" aca="1" ref="AJ37" ca="1">IF(INDIRECT("'盛付札（関数）'!CN"&amp;AE36)&lt;&gt;"",
INDIRECT("'盛付札（関数）'!CN"&amp;AE36),INDIRECT("'盛付札（関数）'!CO"&amp;AE36))</f>
        <v/>
      </c>
      <c r="AK37" s="111"/>
      <c r="AL37" s="75"/>
      <c r="AM37" s="78"/>
      <c r="AN37" s="79" t="str" cm="1">
        <f t="array" aca="1" ref="AN37" ca="1">INDIRECT("'盛付札（関数）'!CM"&amp;AL36)</f>
        <v/>
      </c>
      <c r="AO37" s="53"/>
      <c r="AP37" s="53"/>
      <c r="AQ37" s="80" t="str" cm="1">
        <f t="array" aca="1" ref="AQ37" ca="1">IF(INDIRECT("'盛付札（関数）'!CN"&amp;AL36)&lt;&gt;"",
INDIRECT("'盛付札（関数）'!CN"&amp;AL36),INDIRECT("'盛付札（関数）'!CO"&amp;AL36))</f>
        <v/>
      </c>
      <c r="AR37" s="111"/>
      <c r="AS37" s="53"/>
      <c r="AT37" s="75"/>
      <c r="AU37" s="78"/>
      <c r="AV37" s="79" t="str" cm="1">
        <f t="array" aca="1" ref="AV37" ca="1">INDIRECT("'盛付札（関数）'!CM"&amp;AT36)</f>
        <v/>
      </c>
      <c r="AW37" s="53"/>
      <c r="AX37" s="53"/>
      <c r="AY37" s="80" t="str" cm="1">
        <f t="array" aca="1" ref="AY37" ca="1">IF(INDIRECT("'盛付札（関数）'!CN"&amp;AT36)&lt;&gt;"",
INDIRECT("'盛付札（関数）'!CN"&amp;AT36),INDIRECT("'盛付札（関数）'!CO"&amp;AT36))</f>
        <v/>
      </c>
      <c r="AZ37" s="111"/>
      <c r="BA37" s="75"/>
      <c r="BB37" s="78"/>
      <c r="BC37" s="79" t="str" cm="1">
        <f t="array" aca="1" ref="BC37" ca="1">INDIRECT("'盛付札（関数）'!CM"&amp;BA36)</f>
        <v/>
      </c>
      <c r="BD37" s="53"/>
      <c r="BE37" s="53"/>
      <c r="BF37" s="80" t="str" cm="1">
        <f t="array" aca="1" ref="BF37" ca="1">IF(INDIRECT("'盛付札（関数）'!CN"&amp;BA36)&lt;&gt;"",
INDIRECT("'盛付札（関数）'!CN"&amp;BA36),INDIRECT("'盛付札（関数）'!CO"&amp;BA36))</f>
        <v/>
      </c>
      <c r="BG37" s="111"/>
      <c r="BH37" s="53"/>
      <c r="BI37" s="75"/>
      <c r="BJ37" s="78"/>
      <c r="BK37" s="79" t="str" cm="1">
        <f t="array" aca="1" ref="BK37" ca="1">INDIRECT("'盛付札（関数）'!CM"&amp;BI36)</f>
        <v/>
      </c>
      <c r="BL37" s="53"/>
      <c r="BM37" s="53"/>
      <c r="BN37" s="80" t="str" cm="1">
        <f t="array" aca="1" ref="BN37" ca="1">IF(INDIRECT("'盛付札（関数）'!CN"&amp;BI36)&lt;&gt;"",
INDIRECT("'盛付札（関数）'!CN"&amp;BI36),INDIRECT("'盛付札（関数）'!CO"&amp;BI36))</f>
        <v/>
      </c>
      <c r="BO37" s="111"/>
      <c r="BP37" s="75"/>
      <c r="BQ37" s="78"/>
      <c r="BR37" s="79" t="str" cm="1">
        <f t="array" aca="1" ref="BR37" ca="1">INDIRECT("'盛付札（関数）'!CM"&amp;BP36)</f>
        <v/>
      </c>
      <c r="BS37" s="53"/>
      <c r="BT37" s="53"/>
      <c r="BU37" s="80" t="str" cm="1">
        <f t="array" aca="1" ref="BU37" ca="1">IF(INDIRECT("'盛付札（関数）'!CN"&amp;BP36)&lt;&gt;"",
INDIRECT("'盛付札（関数）'!CN"&amp;BP36),INDIRECT("'盛付札（関数）'!CO"&amp;BP36))</f>
        <v/>
      </c>
      <c r="BV37" s="111"/>
      <c r="BW37" s="53"/>
    </row>
    <row r="38" spans="1:75" s="77" customFormat="1" x14ac:dyDescent="0.55000000000000004">
      <c r="A38" s="83"/>
      <c r="B38" s="81"/>
      <c r="C38" s="86" t="str">
        <f ca="1">IF(D36&lt;&gt;"","園児","")</f>
        <v/>
      </c>
      <c r="D38" s="87"/>
      <c r="E38" s="86" t="str">
        <f ca="1">IF(D36&lt;&gt;"","先生","")</f>
        <v/>
      </c>
      <c r="F38" s="87"/>
      <c r="G38" s="112"/>
      <c r="H38" s="83"/>
      <c r="I38" s="81"/>
      <c r="J38" s="86" t="str">
        <f ca="1">IF(K36&lt;&gt;"","園児","")</f>
        <v/>
      </c>
      <c r="K38" s="87"/>
      <c r="L38" s="86" t="str">
        <f ca="1">IF(K36&lt;&gt;"","先生","")</f>
        <v/>
      </c>
      <c r="M38" s="87"/>
      <c r="N38" s="112"/>
      <c r="O38" s="53"/>
      <c r="P38" s="83"/>
      <c r="Q38" s="81"/>
      <c r="R38" s="86" t="str">
        <f ca="1">IF(S36&lt;&gt;"","園児","")</f>
        <v/>
      </c>
      <c r="S38" s="87"/>
      <c r="T38" s="86" t="str">
        <f ca="1">IF(S36&lt;&gt;"","先生","")</f>
        <v/>
      </c>
      <c r="U38" s="87"/>
      <c r="V38" s="112"/>
      <c r="W38" s="83"/>
      <c r="X38" s="81"/>
      <c r="Y38" s="86" t="str">
        <f ca="1">IF(Z36&lt;&gt;"","園児","")</f>
        <v/>
      </c>
      <c r="Z38" s="87"/>
      <c r="AA38" s="86" t="str">
        <f ca="1">IF(Z36&lt;&gt;"","先生","")</f>
        <v/>
      </c>
      <c r="AB38" s="87"/>
      <c r="AC38" s="112"/>
      <c r="AD38" s="53"/>
      <c r="AE38" s="83"/>
      <c r="AF38" s="81"/>
      <c r="AG38" s="86" t="str">
        <f ca="1">IF(AH36&lt;&gt;"","園児","")</f>
        <v/>
      </c>
      <c r="AH38" s="87"/>
      <c r="AI38" s="86" t="str">
        <f ca="1">IF(AH36&lt;&gt;"","先生","")</f>
        <v/>
      </c>
      <c r="AJ38" s="87"/>
      <c r="AK38" s="112"/>
      <c r="AL38" s="83"/>
      <c r="AM38" s="81"/>
      <c r="AN38" s="86" t="str">
        <f ca="1">IF(AO36&lt;&gt;"","園児","")</f>
        <v/>
      </c>
      <c r="AO38" s="87"/>
      <c r="AP38" s="86" t="str">
        <f ca="1">IF(AO36&lt;&gt;"","先生","")</f>
        <v/>
      </c>
      <c r="AQ38" s="87"/>
      <c r="AR38" s="112"/>
      <c r="AS38" s="53"/>
      <c r="AT38" s="83"/>
      <c r="AU38" s="81"/>
      <c r="AV38" s="86" t="str">
        <f ca="1">IF(AW36&lt;&gt;"","園児","")</f>
        <v/>
      </c>
      <c r="AW38" s="87"/>
      <c r="AX38" s="86" t="str">
        <f ca="1">IF(AW36&lt;&gt;"","先生","")</f>
        <v/>
      </c>
      <c r="AY38" s="87"/>
      <c r="AZ38" s="112"/>
      <c r="BA38" s="83"/>
      <c r="BB38" s="81"/>
      <c r="BC38" s="86" t="str">
        <f ca="1">IF(BD36&lt;&gt;"","園児","")</f>
        <v/>
      </c>
      <c r="BD38" s="87"/>
      <c r="BE38" s="86" t="str">
        <f ca="1">IF(BD36&lt;&gt;"","先生","")</f>
        <v/>
      </c>
      <c r="BF38" s="87"/>
      <c r="BG38" s="112"/>
      <c r="BH38" s="53"/>
      <c r="BI38" s="83"/>
      <c r="BJ38" s="81"/>
      <c r="BK38" s="86" t="str">
        <f ca="1">IF(BL36&lt;&gt;"","園児","")</f>
        <v/>
      </c>
      <c r="BL38" s="87"/>
      <c r="BM38" s="86" t="str">
        <f ca="1">IF(BL36&lt;&gt;"","先生","")</f>
        <v/>
      </c>
      <c r="BN38" s="87"/>
      <c r="BO38" s="112"/>
      <c r="BP38" s="83"/>
      <c r="BQ38" s="81"/>
      <c r="BR38" s="86" t="str">
        <f ca="1">IF(BS36&lt;&gt;"","園児","")</f>
        <v/>
      </c>
      <c r="BS38" s="87"/>
      <c r="BT38" s="86" t="str">
        <f ca="1">IF(BS36&lt;&gt;"","先生","")</f>
        <v/>
      </c>
      <c r="BU38" s="87"/>
      <c r="BV38" s="112"/>
      <c r="BW38" s="53"/>
    </row>
    <row r="39" spans="1:75" ht="18" customHeight="1" x14ac:dyDescent="1.05">
      <c r="A39" s="58"/>
      <c r="B39" s="57"/>
      <c r="C39" s="90" t="str" cm="1">
        <f t="array" aca="1" ref="C39" ca="1">INDIRECT("'盛付札（関数）'!CP"&amp;A36)</f>
        <v/>
      </c>
      <c r="D39" s="91"/>
      <c r="E39" s="93" t="str" cm="1">
        <f t="array" aca="1" ref="E39" ca="1">INDIRECT("'盛付札（関数）'!CQ"&amp;A36)</f>
        <v/>
      </c>
      <c r="F39" s="91"/>
      <c r="G39" s="112"/>
      <c r="H39" s="58"/>
      <c r="I39" s="57"/>
      <c r="J39" s="90" t="str" cm="1">
        <f t="array" aca="1" ref="J39" ca="1">INDIRECT("'盛付札（関数）'!CP"&amp;H36)</f>
        <v/>
      </c>
      <c r="K39" s="91"/>
      <c r="L39" s="93" t="str" cm="1">
        <f t="array" aca="1" ref="L39" ca="1">INDIRECT("'盛付札（関数）'!CQ"&amp;H36)</f>
        <v/>
      </c>
      <c r="M39" s="91"/>
      <c r="N39" s="112"/>
      <c r="P39" s="58"/>
      <c r="Q39" s="57"/>
      <c r="R39" s="90" t="str" cm="1">
        <f t="array" aca="1" ref="R39" ca="1">INDIRECT("'盛付札（関数）'!CP"&amp;P36)</f>
        <v/>
      </c>
      <c r="S39" s="91"/>
      <c r="T39" s="93" t="str" cm="1">
        <f t="array" aca="1" ref="T39" ca="1">INDIRECT("'盛付札（関数）'!CQ"&amp;P36)</f>
        <v/>
      </c>
      <c r="U39" s="91"/>
      <c r="V39" s="112"/>
      <c r="W39" s="58"/>
      <c r="X39" s="57"/>
      <c r="Y39" s="90" t="str" cm="1">
        <f t="array" aca="1" ref="Y39" ca="1">INDIRECT("'盛付札（関数）'!CP"&amp;W36)</f>
        <v/>
      </c>
      <c r="Z39" s="91"/>
      <c r="AA39" s="93" t="str" cm="1">
        <f t="array" aca="1" ref="AA39" ca="1">INDIRECT("'盛付札（関数）'!CQ"&amp;W36)</f>
        <v/>
      </c>
      <c r="AB39" s="91"/>
      <c r="AC39" s="112"/>
      <c r="AE39" s="58"/>
      <c r="AF39" s="57"/>
      <c r="AG39" s="90" t="str" cm="1">
        <f t="array" aca="1" ref="AG39" ca="1">INDIRECT("'盛付札（関数）'!CP"&amp;AE36)</f>
        <v/>
      </c>
      <c r="AH39" s="91"/>
      <c r="AI39" s="93" t="str" cm="1">
        <f t="array" aca="1" ref="AI39" ca="1">INDIRECT("'盛付札（関数）'!CQ"&amp;AE36)</f>
        <v/>
      </c>
      <c r="AJ39" s="91"/>
      <c r="AK39" s="112"/>
      <c r="AL39" s="58"/>
      <c r="AM39" s="57"/>
      <c r="AN39" s="90" t="str" cm="1">
        <f t="array" aca="1" ref="AN39" ca="1">INDIRECT("'盛付札（関数）'!CP"&amp;AL36)</f>
        <v/>
      </c>
      <c r="AO39" s="91"/>
      <c r="AP39" s="93" t="str" cm="1">
        <f t="array" aca="1" ref="AP39" ca="1">INDIRECT("'盛付札（関数）'!CQ"&amp;AL36)</f>
        <v/>
      </c>
      <c r="AQ39" s="91"/>
      <c r="AR39" s="112"/>
      <c r="AT39" s="58"/>
      <c r="AU39" s="57"/>
      <c r="AV39" s="90" t="str" cm="1">
        <f t="array" aca="1" ref="AV39" ca="1">INDIRECT("'盛付札（関数）'!CP"&amp;AT36)</f>
        <v/>
      </c>
      <c r="AW39" s="91"/>
      <c r="AX39" s="93" t="str" cm="1">
        <f t="array" aca="1" ref="AX39" ca="1">INDIRECT("'盛付札（関数）'!CQ"&amp;AT36)</f>
        <v/>
      </c>
      <c r="AY39" s="91"/>
      <c r="AZ39" s="112"/>
      <c r="BA39" s="58"/>
      <c r="BB39" s="57"/>
      <c r="BC39" s="90" t="str" cm="1">
        <f t="array" aca="1" ref="BC39" ca="1">INDIRECT("'盛付札（関数）'!CP"&amp;BA36)</f>
        <v/>
      </c>
      <c r="BD39" s="91"/>
      <c r="BE39" s="93" t="str" cm="1">
        <f t="array" aca="1" ref="BE39" ca="1">INDIRECT("'盛付札（関数）'!CQ"&amp;BA36)</f>
        <v/>
      </c>
      <c r="BF39" s="91"/>
      <c r="BG39" s="112"/>
      <c r="BI39" s="58"/>
      <c r="BJ39" s="57"/>
      <c r="BK39" s="90" t="str" cm="1">
        <f t="array" aca="1" ref="BK39" ca="1">INDIRECT("'盛付札（関数）'!CP"&amp;BI36)</f>
        <v/>
      </c>
      <c r="BL39" s="91"/>
      <c r="BM39" s="93" t="str" cm="1">
        <f t="array" aca="1" ref="BM39" ca="1">INDIRECT("'盛付札（関数）'!CQ"&amp;BI36)</f>
        <v/>
      </c>
      <c r="BN39" s="91"/>
      <c r="BO39" s="112"/>
      <c r="BP39" s="58"/>
      <c r="BQ39" s="57"/>
      <c r="BR39" s="90" t="str" cm="1">
        <f t="array" aca="1" ref="BR39" ca="1">INDIRECT("'盛付札（関数）'!CP"&amp;BP36)</f>
        <v/>
      </c>
      <c r="BS39" s="91"/>
      <c r="BT39" s="93" t="str" cm="1">
        <f t="array" aca="1" ref="BT39" ca="1">INDIRECT("'盛付札（関数）'!CQ"&amp;BP36)</f>
        <v/>
      </c>
      <c r="BU39" s="91"/>
      <c r="BV39" s="112"/>
    </row>
    <row r="40" spans="1:75" ht="18" customHeight="1" x14ac:dyDescent="0.45">
      <c r="A40" s="58"/>
      <c r="B40" s="59"/>
      <c r="C40" s="92"/>
      <c r="D40" s="92"/>
      <c r="E40" s="92"/>
      <c r="F40" s="92"/>
      <c r="G40" s="113"/>
      <c r="H40" s="58"/>
      <c r="I40" s="59"/>
      <c r="J40" s="92"/>
      <c r="K40" s="92"/>
      <c r="L40" s="92"/>
      <c r="M40" s="92"/>
      <c r="N40" s="113"/>
      <c r="P40" s="58"/>
      <c r="Q40" s="59"/>
      <c r="R40" s="92"/>
      <c r="S40" s="92"/>
      <c r="T40" s="92"/>
      <c r="U40" s="92"/>
      <c r="V40" s="113"/>
      <c r="W40" s="58"/>
      <c r="X40" s="59"/>
      <c r="Y40" s="92"/>
      <c r="Z40" s="92"/>
      <c r="AA40" s="92"/>
      <c r="AB40" s="92"/>
      <c r="AC40" s="113"/>
      <c r="AE40" s="58"/>
      <c r="AF40" s="59"/>
      <c r="AG40" s="92"/>
      <c r="AH40" s="92"/>
      <c r="AI40" s="92"/>
      <c r="AJ40" s="92"/>
      <c r="AK40" s="113"/>
      <c r="AL40" s="58"/>
      <c r="AM40" s="59"/>
      <c r="AN40" s="92"/>
      <c r="AO40" s="92"/>
      <c r="AP40" s="92"/>
      <c r="AQ40" s="92"/>
      <c r="AR40" s="113"/>
      <c r="AT40" s="58"/>
      <c r="AU40" s="59"/>
      <c r="AV40" s="92"/>
      <c r="AW40" s="92"/>
      <c r="AX40" s="92"/>
      <c r="AY40" s="92"/>
      <c r="AZ40" s="113"/>
      <c r="BA40" s="58"/>
      <c r="BB40" s="59"/>
      <c r="BC40" s="92"/>
      <c r="BD40" s="92"/>
      <c r="BE40" s="92"/>
      <c r="BF40" s="92"/>
      <c r="BG40" s="113"/>
      <c r="BI40" s="58"/>
      <c r="BJ40" s="59"/>
      <c r="BK40" s="92"/>
      <c r="BL40" s="92"/>
      <c r="BM40" s="92"/>
      <c r="BN40" s="92"/>
      <c r="BO40" s="113"/>
      <c r="BP40" s="58"/>
      <c r="BQ40" s="59"/>
      <c r="BR40" s="92"/>
      <c r="BS40" s="92"/>
      <c r="BT40" s="92"/>
      <c r="BU40" s="92"/>
      <c r="BV40" s="113"/>
    </row>
    <row r="41" spans="1:75" s="77" customFormat="1" x14ac:dyDescent="0.55000000000000004">
      <c r="A41" s="53"/>
      <c r="B41" s="84" t="str">
        <f ca="1">IF(D36&lt;&gt;"","パン箱","")</f>
        <v/>
      </c>
      <c r="C41" s="82" t="str" cm="1">
        <f t="array" aca="1" ref="C41" ca="1">INDIRECT("'盛付札（関数）'!CR"&amp;A36)</f>
        <v/>
      </c>
      <c r="D41" s="84" t="str">
        <f ca="1">IF(D36&lt;&gt;"","端数","")</f>
        <v/>
      </c>
      <c r="E41" s="82"/>
      <c r="F41" s="84" t="str">
        <f ca="1">IF(D36&lt;&gt;"","アレルギー","")</f>
        <v/>
      </c>
      <c r="G41" s="112"/>
      <c r="H41" s="53"/>
      <c r="I41" s="84" t="str">
        <f ca="1">IF(K36&lt;&gt;"","パン箱","")</f>
        <v/>
      </c>
      <c r="J41" s="82" t="str" cm="1">
        <f t="array" aca="1" ref="J41" ca="1">INDIRECT("'盛付札（関数）'!CR"&amp;H36)</f>
        <v/>
      </c>
      <c r="K41" s="84" t="str">
        <f ca="1">IF(K36&lt;&gt;"","端数","")</f>
        <v/>
      </c>
      <c r="L41" s="82"/>
      <c r="M41" s="84" t="str">
        <f ca="1">IF(K36&lt;&gt;"","アレルギー","")</f>
        <v/>
      </c>
      <c r="N41" s="112"/>
      <c r="O41" s="53"/>
      <c r="P41" s="53"/>
      <c r="Q41" s="84" t="str">
        <f ca="1">IF(S36&lt;&gt;"","パン箱","")</f>
        <v/>
      </c>
      <c r="R41" s="82" t="str" cm="1">
        <f t="array" aca="1" ref="R41" ca="1">INDIRECT("'盛付札（関数）'!CR"&amp;P36)</f>
        <v/>
      </c>
      <c r="S41" s="84" t="str">
        <f ca="1">IF(S36&lt;&gt;"","端数","")</f>
        <v/>
      </c>
      <c r="T41" s="82"/>
      <c r="U41" s="84" t="str">
        <f ca="1">IF(S36&lt;&gt;"","アレルギー","")</f>
        <v/>
      </c>
      <c r="V41" s="112"/>
      <c r="W41" s="53"/>
      <c r="X41" s="84" t="str">
        <f ca="1">IF(Z36&lt;&gt;"","パン箱","")</f>
        <v/>
      </c>
      <c r="Y41" s="82" t="str" cm="1">
        <f t="array" aca="1" ref="Y41" ca="1">INDIRECT("'盛付札（関数）'!CR"&amp;W36)</f>
        <v/>
      </c>
      <c r="Z41" s="84" t="str">
        <f ca="1">IF(Z36&lt;&gt;"","端数","")</f>
        <v/>
      </c>
      <c r="AA41" s="82"/>
      <c r="AB41" s="84" t="str">
        <f ca="1">IF(Z36&lt;&gt;"","アレルギー","")</f>
        <v/>
      </c>
      <c r="AC41" s="112"/>
      <c r="AD41" s="53"/>
      <c r="AE41" s="53"/>
      <c r="AF41" s="84" t="str">
        <f ca="1">IF(AH36&lt;&gt;"","パン箱","")</f>
        <v/>
      </c>
      <c r="AG41" s="82" t="str" cm="1">
        <f t="array" aca="1" ref="AG41" ca="1">INDIRECT("'盛付札（関数）'!CR"&amp;AE36)</f>
        <v/>
      </c>
      <c r="AH41" s="84" t="str">
        <f ca="1">IF(AH36&lt;&gt;"","端数","")</f>
        <v/>
      </c>
      <c r="AI41" s="82"/>
      <c r="AJ41" s="84" t="str">
        <f ca="1">IF(AH36&lt;&gt;"","アレルギー","")</f>
        <v/>
      </c>
      <c r="AK41" s="112"/>
      <c r="AL41" s="53"/>
      <c r="AM41" s="84" t="str">
        <f ca="1">IF(AO36&lt;&gt;"","パン箱","")</f>
        <v/>
      </c>
      <c r="AN41" s="82" t="str" cm="1">
        <f t="array" aca="1" ref="AN41" ca="1">INDIRECT("'盛付札（関数）'!CR"&amp;AL36)</f>
        <v/>
      </c>
      <c r="AO41" s="84" t="str">
        <f ca="1">IF(AO36&lt;&gt;"","端数","")</f>
        <v/>
      </c>
      <c r="AP41" s="82"/>
      <c r="AQ41" s="84" t="str">
        <f ca="1">IF(AO36&lt;&gt;"","アレルギー","")</f>
        <v/>
      </c>
      <c r="AR41" s="112"/>
      <c r="AS41" s="53"/>
      <c r="AT41" s="53"/>
      <c r="AU41" s="84" t="str">
        <f ca="1">IF(AW36&lt;&gt;"","パン箱","")</f>
        <v/>
      </c>
      <c r="AV41" s="82" t="str" cm="1">
        <f t="array" aca="1" ref="AV41" ca="1">INDIRECT("'盛付札（関数）'!CR"&amp;AT36)</f>
        <v/>
      </c>
      <c r="AW41" s="84" t="str">
        <f ca="1">IF(AW36&lt;&gt;"","端数","")</f>
        <v/>
      </c>
      <c r="AX41" s="82"/>
      <c r="AY41" s="84" t="str">
        <f ca="1">IF(AW36&lt;&gt;"","アレルギー","")</f>
        <v/>
      </c>
      <c r="AZ41" s="112"/>
      <c r="BA41" s="53"/>
      <c r="BB41" s="84" t="str">
        <f ca="1">IF(BD36&lt;&gt;"","パン箱","")</f>
        <v/>
      </c>
      <c r="BC41" s="82" t="str" cm="1">
        <f t="array" aca="1" ref="BC41" ca="1">INDIRECT("'盛付札（関数）'!CR"&amp;BA36)</f>
        <v/>
      </c>
      <c r="BD41" s="84" t="str">
        <f ca="1">IF(BD36&lt;&gt;"","端数","")</f>
        <v/>
      </c>
      <c r="BE41" s="82"/>
      <c r="BF41" s="84" t="str">
        <f ca="1">IF(BD36&lt;&gt;"","アレルギー","")</f>
        <v/>
      </c>
      <c r="BG41" s="112"/>
      <c r="BH41" s="53"/>
      <c r="BI41" s="53"/>
      <c r="BJ41" s="84" t="str">
        <f ca="1">IF(BL36&lt;&gt;"","パン箱","")</f>
        <v/>
      </c>
      <c r="BK41" s="82" t="str" cm="1">
        <f t="array" aca="1" ref="BK41" ca="1">INDIRECT("'盛付札（関数）'!CR"&amp;BI36)</f>
        <v/>
      </c>
      <c r="BL41" s="84" t="str">
        <f ca="1">IF(BL36&lt;&gt;"","端数","")</f>
        <v/>
      </c>
      <c r="BM41" s="82"/>
      <c r="BN41" s="84" t="str">
        <f ca="1">IF(BL36&lt;&gt;"","アレルギー","")</f>
        <v/>
      </c>
      <c r="BO41" s="112"/>
      <c r="BP41" s="53"/>
      <c r="BQ41" s="84" t="str">
        <f ca="1">IF(BS36&lt;&gt;"","パン箱","")</f>
        <v/>
      </c>
      <c r="BR41" s="82" t="str" cm="1">
        <f t="array" aca="1" ref="BR41" ca="1">INDIRECT("'盛付札（関数）'!CR"&amp;BP36)</f>
        <v/>
      </c>
      <c r="BS41" s="84" t="str">
        <f ca="1">IF(BS36&lt;&gt;"","端数","")</f>
        <v/>
      </c>
      <c r="BT41" s="82"/>
      <c r="BU41" s="84" t="str">
        <f ca="1">IF(BS36&lt;&gt;"","アレルギー","")</f>
        <v/>
      </c>
      <c r="BV41" s="112"/>
      <c r="BW41" s="53"/>
    </row>
    <row r="42" spans="1:75" ht="21" customHeight="1" x14ac:dyDescent="0.45">
      <c r="B42" s="97" t="str" cm="1">
        <f t="array" aca="1" ref="B42" ca="1">INDIRECT("'盛付札（関数）'!CS"&amp;A36)</f>
        <v/>
      </c>
      <c r="C42" s="95"/>
      <c r="D42" s="97" t="str" cm="1">
        <f t="array" aca="1" ref="D42" ca="1">INDIRECT("'盛付札（関数）'!CT"&amp;A36)</f>
        <v/>
      </c>
      <c r="E42" s="95"/>
      <c r="F42" s="94" t="str" cm="1">
        <f t="array" aca="1" ref="F42" ca="1">INDIRECT("'盛付札（関数）'!CU"&amp;A36)</f>
        <v/>
      </c>
      <c r="G42" s="95"/>
      <c r="I42" s="97" t="str" cm="1">
        <f t="array" aca="1" ref="I42" ca="1">INDIRECT("'盛付札（関数）'!CS"&amp;H36)</f>
        <v/>
      </c>
      <c r="J42" s="95"/>
      <c r="K42" s="97" t="str" cm="1">
        <f t="array" aca="1" ref="K42" ca="1">INDIRECT("'盛付札（関数）'!CT"&amp;H36)</f>
        <v/>
      </c>
      <c r="L42" s="95"/>
      <c r="M42" s="94" t="str" cm="1">
        <f t="array" aca="1" ref="M42" ca="1">INDIRECT("'盛付札（関数）'!CU"&amp;H36)</f>
        <v/>
      </c>
      <c r="N42" s="95"/>
      <c r="Q42" s="97" t="str" cm="1">
        <f t="array" aca="1" ref="Q42" ca="1">INDIRECT("'盛付札（関数）'!CS"&amp;P36)</f>
        <v/>
      </c>
      <c r="R42" s="95"/>
      <c r="S42" s="97" t="str" cm="1">
        <f t="array" aca="1" ref="S42" ca="1">INDIRECT("'盛付札（関数）'!CT"&amp;P36)</f>
        <v/>
      </c>
      <c r="T42" s="95"/>
      <c r="U42" s="94" t="str" cm="1">
        <f t="array" aca="1" ref="U42" ca="1">INDIRECT("'盛付札（関数）'!CU"&amp;P36)</f>
        <v/>
      </c>
      <c r="V42" s="95"/>
      <c r="X42" s="97" t="str" cm="1">
        <f t="array" aca="1" ref="X42" ca="1">INDIRECT("'盛付札（関数）'!CS"&amp;W36)</f>
        <v/>
      </c>
      <c r="Y42" s="95"/>
      <c r="Z42" s="97" t="str" cm="1">
        <f t="array" aca="1" ref="Z42" ca="1">INDIRECT("'盛付札（関数）'!CT"&amp;W36)</f>
        <v/>
      </c>
      <c r="AA42" s="95"/>
      <c r="AB42" s="94" t="str" cm="1">
        <f t="array" aca="1" ref="AB42" ca="1">INDIRECT("'盛付札（関数）'!CU"&amp;W36)</f>
        <v/>
      </c>
      <c r="AC42" s="95"/>
      <c r="AF42" s="97" t="str" cm="1">
        <f t="array" aca="1" ref="AF42" ca="1">INDIRECT("'盛付札（関数）'!CS"&amp;AE36)</f>
        <v/>
      </c>
      <c r="AG42" s="95"/>
      <c r="AH42" s="97" t="str" cm="1">
        <f t="array" aca="1" ref="AH42" ca="1">INDIRECT("'盛付札（関数）'!CT"&amp;AE36)</f>
        <v/>
      </c>
      <c r="AI42" s="95"/>
      <c r="AJ42" s="94" t="str" cm="1">
        <f t="array" aca="1" ref="AJ42" ca="1">INDIRECT("'盛付札（関数）'!CU"&amp;AE36)</f>
        <v/>
      </c>
      <c r="AK42" s="95"/>
      <c r="AM42" s="97" t="str" cm="1">
        <f t="array" aca="1" ref="AM42" ca="1">INDIRECT("'盛付札（関数）'!CS"&amp;AL36)</f>
        <v/>
      </c>
      <c r="AN42" s="95"/>
      <c r="AO42" s="97" t="str" cm="1">
        <f t="array" aca="1" ref="AO42" ca="1">INDIRECT("'盛付札（関数）'!CT"&amp;AL36)</f>
        <v/>
      </c>
      <c r="AP42" s="95"/>
      <c r="AQ42" s="94" t="str" cm="1">
        <f t="array" aca="1" ref="AQ42" ca="1">INDIRECT("'盛付札（関数）'!CU"&amp;AL36)</f>
        <v/>
      </c>
      <c r="AR42" s="95"/>
      <c r="AU42" s="97" t="str" cm="1">
        <f t="array" aca="1" ref="AU42" ca="1">INDIRECT("'盛付札（関数）'!CS"&amp;AT36)</f>
        <v/>
      </c>
      <c r="AV42" s="95"/>
      <c r="AW42" s="97" t="str" cm="1">
        <f t="array" aca="1" ref="AW42" ca="1">INDIRECT("'盛付札（関数）'!CT"&amp;AT36)</f>
        <v/>
      </c>
      <c r="AX42" s="95"/>
      <c r="AY42" s="94" t="str" cm="1">
        <f t="array" aca="1" ref="AY42" ca="1">INDIRECT("'盛付札（関数）'!CU"&amp;AT36)</f>
        <v/>
      </c>
      <c r="AZ42" s="95"/>
      <c r="BB42" s="97" t="str" cm="1">
        <f t="array" aca="1" ref="BB42" ca="1">INDIRECT("'盛付札（関数）'!CS"&amp;BA36)</f>
        <v/>
      </c>
      <c r="BC42" s="95"/>
      <c r="BD42" s="97" t="str" cm="1">
        <f t="array" aca="1" ref="BD42" ca="1">INDIRECT("'盛付札（関数）'!CT"&amp;BA36)</f>
        <v/>
      </c>
      <c r="BE42" s="95"/>
      <c r="BF42" s="94" t="str" cm="1">
        <f t="array" aca="1" ref="BF42" ca="1">INDIRECT("'盛付札（関数）'!CU"&amp;BA36)</f>
        <v/>
      </c>
      <c r="BG42" s="95"/>
      <c r="BJ42" s="97" t="str" cm="1">
        <f t="array" aca="1" ref="BJ42" ca="1">INDIRECT("'盛付札（関数）'!CS"&amp;BI36)</f>
        <v/>
      </c>
      <c r="BK42" s="95"/>
      <c r="BL42" s="97" t="str" cm="1">
        <f t="array" aca="1" ref="BL42" ca="1">INDIRECT("'盛付札（関数）'!CT"&amp;BI36)</f>
        <v/>
      </c>
      <c r="BM42" s="95"/>
      <c r="BN42" s="94" t="str" cm="1">
        <f t="array" aca="1" ref="BN42" ca="1">INDIRECT("'盛付札（関数）'!CU"&amp;BI36)</f>
        <v/>
      </c>
      <c r="BO42" s="95"/>
      <c r="BQ42" s="97" t="str" cm="1">
        <f t="array" aca="1" ref="BQ42" ca="1">INDIRECT("'盛付札（関数）'!CS"&amp;BP36)</f>
        <v/>
      </c>
      <c r="BR42" s="95"/>
      <c r="BS42" s="97" t="str" cm="1">
        <f t="array" aca="1" ref="BS42" ca="1">INDIRECT("'盛付札（関数）'!CT"&amp;BP36)</f>
        <v/>
      </c>
      <c r="BT42" s="95"/>
      <c r="BU42" s="94" t="str" cm="1">
        <f t="array" aca="1" ref="BU42" ca="1">INDIRECT("'盛付札（関数）'!CU"&amp;BP36)</f>
        <v/>
      </c>
      <c r="BV42" s="95"/>
    </row>
  </sheetData>
  <mergeCells count="480">
    <mergeCell ref="BL22:BO22"/>
    <mergeCell ref="BS22:BV22"/>
    <mergeCell ref="BL29:BO29"/>
    <mergeCell ref="BS29:BV29"/>
    <mergeCell ref="BL36:BO36"/>
    <mergeCell ref="BS36:BV36"/>
    <mergeCell ref="BL1:BO1"/>
    <mergeCell ref="BS1:BV1"/>
    <mergeCell ref="BL8:BO8"/>
    <mergeCell ref="BS8:BV8"/>
    <mergeCell ref="BL15:BO15"/>
    <mergeCell ref="BS15:BV15"/>
    <mergeCell ref="AW22:AZ22"/>
    <mergeCell ref="BD22:BG22"/>
    <mergeCell ref="AW29:AZ29"/>
    <mergeCell ref="BD29:BG29"/>
    <mergeCell ref="AW36:AZ36"/>
    <mergeCell ref="BD36:BG36"/>
    <mergeCell ref="AH29:AK29"/>
    <mergeCell ref="AO29:AR29"/>
    <mergeCell ref="AH36:AK36"/>
    <mergeCell ref="AO36:AR36"/>
    <mergeCell ref="AW1:AZ1"/>
    <mergeCell ref="BD1:BG1"/>
    <mergeCell ref="AW8:AZ8"/>
    <mergeCell ref="BD8:BG8"/>
    <mergeCell ref="AW15:AZ15"/>
    <mergeCell ref="BD15:BG15"/>
    <mergeCell ref="AH1:AK1"/>
    <mergeCell ref="AO1:AR1"/>
    <mergeCell ref="AH8:AK8"/>
    <mergeCell ref="AO8:AR8"/>
    <mergeCell ref="AH15:AK15"/>
    <mergeCell ref="AO15:AR15"/>
    <mergeCell ref="Z1:AC1"/>
    <mergeCell ref="S8:V8"/>
    <mergeCell ref="Z8:AC8"/>
    <mergeCell ref="S15:V15"/>
    <mergeCell ref="Z15:AC15"/>
    <mergeCell ref="S22:V22"/>
    <mergeCell ref="Z22:AC22"/>
    <mergeCell ref="BJ42:BK42"/>
    <mergeCell ref="BL42:BM42"/>
    <mergeCell ref="BN42:BO42"/>
    <mergeCell ref="BQ42:BR42"/>
    <mergeCell ref="BS42:BT42"/>
    <mergeCell ref="BU42:BV42"/>
    <mergeCell ref="AU42:AV42"/>
    <mergeCell ref="AW42:AX42"/>
    <mergeCell ref="AY42:AZ42"/>
    <mergeCell ref="BB42:BC42"/>
    <mergeCell ref="BD42:BE42"/>
    <mergeCell ref="BF42:BG42"/>
    <mergeCell ref="AF42:AG42"/>
    <mergeCell ref="AH42:AI42"/>
    <mergeCell ref="AJ42:AK42"/>
    <mergeCell ref="AM42:AN42"/>
    <mergeCell ref="AO42:AP42"/>
    <mergeCell ref="AQ42:AR42"/>
    <mergeCell ref="Q42:R42"/>
    <mergeCell ref="S42:T42"/>
    <mergeCell ref="U42:V42"/>
    <mergeCell ref="X42:Y42"/>
    <mergeCell ref="Z42:AA42"/>
    <mergeCell ref="AB42:AC42"/>
    <mergeCell ref="B42:C42"/>
    <mergeCell ref="D42:E42"/>
    <mergeCell ref="F42:G42"/>
    <mergeCell ref="I42:J42"/>
    <mergeCell ref="K42:L42"/>
    <mergeCell ref="M42:N42"/>
    <mergeCell ref="BC39:BD40"/>
    <mergeCell ref="BE39:BF40"/>
    <mergeCell ref="BK39:BL40"/>
    <mergeCell ref="BM39:BN40"/>
    <mergeCell ref="BR39:BS40"/>
    <mergeCell ref="BT39:BU40"/>
    <mergeCell ref="AG39:AH40"/>
    <mergeCell ref="AI39:AJ40"/>
    <mergeCell ref="AN39:AO40"/>
    <mergeCell ref="AP39:AQ40"/>
    <mergeCell ref="AV39:AW40"/>
    <mergeCell ref="AX39:AY40"/>
    <mergeCell ref="BR38:BS38"/>
    <mergeCell ref="BT38:BU38"/>
    <mergeCell ref="C39:D40"/>
    <mergeCell ref="E39:F40"/>
    <mergeCell ref="J39:K40"/>
    <mergeCell ref="L39:M40"/>
    <mergeCell ref="R39:S40"/>
    <mergeCell ref="T39:U40"/>
    <mergeCell ref="Y39:Z40"/>
    <mergeCell ref="AA39:AB40"/>
    <mergeCell ref="AV38:AW38"/>
    <mergeCell ref="AX38:AY38"/>
    <mergeCell ref="BC38:BD38"/>
    <mergeCell ref="BE38:BF38"/>
    <mergeCell ref="BK38:BL38"/>
    <mergeCell ref="BM38:BN38"/>
    <mergeCell ref="Y38:Z38"/>
    <mergeCell ref="AA38:AB38"/>
    <mergeCell ref="AG38:AH38"/>
    <mergeCell ref="AI38:AJ38"/>
    <mergeCell ref="AN38:AO38"/>
    <mergeCell ref="AP38:AQ38"/>
    <mergeCell ref="C38:D38"/>
    <mergeCell ref="E38:F38"/>
    <mergeCell ref="J38:K38"/>
    <mergeCell ref="L38:M38"/>
    <mergeCell ref="R38:S38"/>
    <mergeCell ref="T38:U38"/>
    <mergeCell ref="D36:G36"/>
    <mergeCell ref="K36:N36"/>
    <mergeCell ref="S36:V36"/>
    <mergeCell ref="Z36:AC36"/>
    <mergeCell ref="BJ35:BK35"/>
    <mergeCell ref="BL35:BM35"/>
    <mergeCell ref="BN35:BO35"/>
    <mergeCell ref="BQ35:BR35"/>
    <mergeCell ref="BS35:BT35"/>
    <mergeCell ref="BU35:BV35"/>
    <mergeCell ref="AU35:AV35"/>
    <mergeCell ref="AW35:AX35"/>
    <mergeCell ref="AY35:AZ35"/>
    <mergeCell ref="BB35:BC35"/>
    <mergeCell ref="BD35:BE35"/>
    <mergeCell ref="BF35:BG35"/>
    <mergeCell ref="AF35:AG35"/>
    <mergeCell ref="AH35:AI35"/>
    <mergeCell ref="AJ35:AK35"/>
    <mergeCell ref="AM35:AN35"/>
    <mergeCell ref="AO35:AP35"/>
    <mergeCell ref="AQ35:AR35"/>
    <mergeCell ref="Q35:R35"/>
    <mergeCell ref="S35:T35"/>
    <mergeCell ref="U35:V35"/>
    <mergeCell ref="X35:Y35"/>
    <mergeCell ref="Z35:AA35"/>
    <mergeCell ref="AB35:AC35"/>
    <mergeCell ref="B35:C35"/>
    <mergeCell ref="D35:E35"/>
    <mergeCell ref="F35:G35"/>
    <mergeCell ref="I35:J35"/>
    <mergeCell ref="K35:L35"/>
    <mergeCell ref="M35:N35"/>
    <mergeCell ref="BC32:BD33"/>
    <mergeCell ref="BE32:BF33"/>
    <mergeCell ref="BK32:BL33"/>
    <mergeCell ref="BM32:BN33"/>
    <mergeCell ref="BR32:BS33"/>
    <mergeCell ref="BT32:BU33"/>
    <mergeCell ref="AG32:AH33"/>
    <mergeCell ref="AI32:AJ33"/>
    <mergeCell ref="AN32:AO33"/>
    <mergeCell ref="AP32:AQ33"/>
    <mergeCell ref="AV32:AW33"/>
    <mergeCell ref="AX32:AY33"/>
    <mergeCell ref="BR31:BS31"/>
    <mergeCell ref="BT31:BU31"/>
    <mergeCell ref="C32:D33"/>
    <mergeCell ref="E32:F33"/>
    <mergeCell ref="J32:K33"/>
    <mergeCell ref="L32:M33"/>
    <mergeCell ref="R32:S33"/>
    <mergeCell ref="T32:U33"/>
    <mergeCell ref="Y32:Z33"/>
    <mergeCell ref="AA32:AB33"/>
    <mergeCell ref="AV31:AW31"/>
    <mergeCell ref="AX31:AY31"/>
    <mergeCell ref="BC31:BD31"/>
    <mergeCell ref="BE31:BF31"/>
    <mergeCell ref="BK31:BL31"/>
    <mergeCell ref="BM31:BN31"/>
    <mergeCell ref="Y31:Z31"/>
    <mergeCell ref="AA31:AB31"/>
    <mergeCell ref="AG31:AH31"/>
    <mergeCell ref="AI31:AJ31"/>
    <mergeCell ref="AN31:AO31"/>
    <mergeCell ref="AP31:AQ31"/>
    <mergeCell ref="C31:D31"/>
    <mergeCell ref="E31:F31"/>
    <mergeCell ref="J31:K31"/>
    <mergeCell ref="L31:M31"/>
    <mergeCell ref="R31:S31"/>
    <mergeCell ref="T31:U31"/>
    <mergeCell ref="D29:G29"/>
    <mergeCell ref="K29:N29"/>
    <mergeCell ref="S29:V29"/>
    <mergeCell ref="Z29:AC29"/>
    <mergeCell ref="BJ28:BK28"/>
    <mergeCell ref="BL28:BM28"/>
    <mergeCell ref="BN28:BO28"/>
    <mergeCell ref="BQ28:BR28"/>
    <mergeCell ref="BS28:BT28"/>
    <mergeCell ref="BU28:BV28"/>
    <mergeCell ref="AU28:AV28"/>
    <mergeCell ref="AW28:AX28"/>
    <mergeCell ref="AY28:AZ28"/>
    <mergeCell ref="BB28:BC28"/>
    <mergeCell ref="BD28:BE28"/>
    <mergeCell ref="BF28:BG28"/>
    <mergeCell ref="AF28:AG28"/>
    <mergeCell ref="AH28:AI28"/>
    <mergeCell ref="AJ28:AK28"/>
    <mergeCell ref="AM28:AN28"/>
    <mergeCell ref="AO28:AP28"/>
    <mergeCell ref="AQ28:AR28"/>
    <mergeCell ref="Q28:R28"/>
    <mergeCell ref="S28:T28"/>
    <mergeCell ref="U28:V28"/>
    <mergeCell ref="X28:Y28"/>
    <mergeCell ref="Z28:AA28"/>
    <mergeCell ref="AB28:AC28"/>
    <mergeCell ref="B28:C28"/>
    <mergeCell ref="D28:E28"/>
    <mergeCell ref="F28:G28"/>
    <mergeCell ref="I28:J28"/>
    <mergeCell ref="K28:L28"/>
    <mergeCell ref="M28:N28"/>
    <mergeCell ref="BC25:BD26"/>
    <mergeCell ref="BE25:BF26"/>
    <mergeCell ref="BK25:BL26"/>
    <mergeCell ref="BM25:BN26"/>
    <mergeCell ref="BR25:BS26"/>
    <mergeCell ref="BT25:BU26"/>
    <mergeCell ref="AG25:AH26"/>
    <mergeCell ref="AI25:AJ26"/>
    <mergeCell ref="AN25:AO26"/>
    <mergeCell ref="AP25:AQ26"/>
    <mergeCell ref="AV25:AW26"/>
    <mergeCell ref="AX25:AY26"/>
    <mergeCell ref="BR24:BS24"/>
    <mergeCell ref="BT24:BU24"/>
    <mergeCell ref="C25:D26"/>
    <mergeCell ref="E25:F26"/>
    <mergeCell ref="J25:K26"/>
    <mergeCell ref="L25:M26"/>
    <mergeCell ref="R25:S26"/>
    <mergeCell ref="T25:U26"/>
    <mergeCell ref="Y25:Z26"/>
    <mergeCell ref="AA25:AB26"/>
    <mergeCell ref="AV24:AW24"/>
    <mergeCell ref="AX24:AY24"/>
    <mergeCell ref="BC24:BD24"/>
    <mergeCell ref="BE24:BF24"/>
    <mergeCell ref="BK24:BL24"/>
    <mergeCell ref="BM24:BN24"/>
    <mergeCell ref="Y24:Z24"/>
    <mergeCell ref="AA24:AB24"/>
    <mergeCell ref="AG24:AH24"/>
    <mergeCell ref="AI24:AJ24"/>
    <mergeCell ref="AN24:AO24"/>
    <mergeCell ref="AP24:AQ24"/>
    <mergeCell ref="C24:D24"/>
    <mergeCell ref="E24:F24"/>
    <mergeCell ref="J24:K24"/>
    <mergeCell ref="L24:M24"/>
    <mergeCell ref="R24:S24"/>
    <mergeCell ref="T24:U24"/>
    <mergeCell ref="D22:G22"/>
    <mergeCell ref="K22:N22"/>
    <mergeCell ref="AH22:AK22"/>
    <mergeCell ref="AO22:AR22"/>
    <mergeCell ref="BJ21:BK21"/>
    <mergeCell ref="BL21:BM21"/>
    <mergeCell ref="BN21:BO21"/>
    <mergeCell ref="BQ21:BR21"/>
    <mergeCell ref="BS21:BT21"/>
    <mergeCell ref="BU21:BV21"/>
    <mergeCell ref="AU21:AV21"/>
    <mergeCell ref="AW21:AX21"/>
    <mergeCell ref="AY21:AZ21"/>
    <mergeCell ref="BB21:BC21"/>
    <mergeCell ref="BD21:BE21"/>
    <mergeCell ref="BF21:BG21"/>
    <mergeCell ref="AF21:AG21"/>
    <mergeCell ref="AH21:AI21"/>
    <mergeCell ref="AJ21:AK21"/>
    <mergeCell ref="AM21:AN21"/>
    <mergeCell ref="AO21:AP21"/>
    <mergeCell ref="AQ21:AR21"/>
    <mergeCell ref="Q21:R21"/>
    <mergeCell ref="S21:T21"/>
    <mergeCell ref="U21:V21"/>
    <mergeCell ref="X21:Y21"/>
    <mergeCell ref="Z21:AA21"/>
    <mergeCell ref="AB21:AC21"/>
    <mergeCell ref="B21:C21"/>
    <mergeCell ref="D21:E21"/>
    <mergeCell ref="F21:G21"/>
    <mergeCell ref="I21:J21"/>
    <mergeCell ref="K21:L21"/>
    <mergeCell ref="M21:N21"/>
    <mergeCell ref="BC18:BD19"/>
    <mergeCell ref="BE18:BF19"/>
    <mergeCell ref="BK18:BL19"/>
    <mergeCell ref="BM18:BN19"/>
    <mergeCell ref="BR18:BS19"/>
    <mergeCell ref="BT18:BU19"/>
    <mergeCell ref="AG18:AH19"/>
    <mergeCell ref="AI18:AJ19"/>
    <mergeCell ref="AN18:AO19"/>
    <mergeCell ref="AP18:AQ19"/>
    <mergeCell ref="AV18:AW19"/>
    <mergeCell ref="AX18:AY19"/>
    <mergeCell ref="BR17:BS17"/>
    <mergeCell ref="BT17:BU17"/>
    <mergeCell ref="C18:D19"/>
    <mergeCell ref="E18:F19"/>
    <mergeCell ref="J18:K19"/>
    <mergeCell ref="L18:M19"/>
    <mergeCell ref="R18:S19"/>
    <mergeCell ref="T18:U19"/>
    <mergeCell ref="Y18:Z19"/>
    <mergeCell ref="AA18:AB19"/>
    <mergeCell ref="AV17:AW17"/>
    <mergeCell ref="AX17:AY17"/>
    <mergeCell ref="BC17:BD17"/>
    <mergeCell ref="BE17:BF17"/>
    <mergeCell ref="BK17:BL17"/>
    <mergeCell ref="BM17:BN17"/>
    <mergeCell ref="Y17:Z17"/>
    <mergeCell ref="AA17:AB17"/>
    <mergeCell ref="AG17:AH17"/>
    <mergeCell ref="AI17:AJ17"/>
    <mergeCell ref="AN17:AO17"/>
    <mergeCell ref="AP17:AQ17"/>
    <mergeCell ref="C17:D17"/>
    <mergeCell ref="E17:F17"/>
    <mergeCell ref="J17:K17"/>
    <mergeCell ref="L17:M17"/>
    <mergeCell ref="R17:S17"/>
    <mergeCell ref="T17:U17"/>
    <mergeCell ref="D15:G15"/>
    <mergeCell ref="K15:N15"/>
    <mergeCell ref="BJ14:BK14"/>
    <mergeCell ref="BL14:BM14"/>
    <mergeCell ref="BN14:BO14"/>
    <mergeCell ref="BQ14:BR14"/>
    <mergeCell ref="BS14:BT14"/>
    <mergeCell ref="BU14:BV14"/>
    <mergeCell ref="AU14:AV14"/>
    <mergeCell ref="AW14:AX14"/>
    <mergeCell ref="AY14:AZ14"/>
    <mergeCell ref="BB14:BC14"/>
    <mergeCell ref="BD14:BE14"/>
    <mergeCell ref="BF14:BG14"/>
    <mergeCell ref="AF14:AG14"/>
    <mergeCell ref="AH14:AI14"/>
    <mergeCell ref="AJ14:AK14"/>
    <mergeCell ref="AM14:AN14"/>
    <mergeCell ref="AO14:AP14"/>
    <mergeCell ref="AQ14:AR14"/>
    <mergeCell ref="Q14:R14"/>
    <mergeCell ref="S14:T14"/>
    <mergeCell ref="U14:V14"/>
    <mergeCell ref="X14:Y14"/>
    <mergeCell ref="Z14:AA14"/>
    <mergeCell ref="AB14:AC14"/>
    <mergeCell ref="B14:C14"/>
    <mergeCell ref="D14:E14"/>
    <mergeCell ref="F14:G14"/>
    <mergeCell ref="I14:J14"/>
    <mergeCell ref="K14:L14"/>
    <mergeCell ref="M14:N14"/>
    <mergeCell ref="BC11:BD12"/>
    <mergeCell ref="BE11:BF12"/>
    <mergeCell ref="BK11:BL12"/>
    <mergeCell ref="BM11:BN12"/>
    <mergeCell ref="BR11:BS12"/>
    <mergeCell ref="BT11:BU12"/>
    <mergeCell ref="AG11:AH12"/>
    <mergeCell ref="AI11:AJ12"/>
    <mergeCell ref="AN11:AO12"/>
    <mergeCell ref="AP11:AQ12"/>
    <mergeCell ref="AV11:AW12"/>
    <mergeCell ref="AX11:AY12"/>
    <mergeCell ref="BR10:BS10"/>
    <mergeCell ref="BT10:BU10"/>
    <mergeCell ref="C11:D12"/>
    <mergeCell ref="E11:F12"/>
    <mergeCell ref="J11:K12"/>
    <mergeCell ref="L11:M12"/>
    <mergeCell ref="R11:S12"/>
    <mergeCell ref="T11:U12"/>
    <mergeCell ref="Y11:Z12"/>
    <mergeCell ref="AA11:AB12"/>
    <mergeCell ref="AV10:AW10"/>
    <mergeCell ref="AX10:AY10"/>
    <mergeCell ref="BC10:BD10"/>
    <mergeCell ref="BE10:BF10"/>
    <mergeCell ref="BK10:BL10"/>
    <mergeCell ref="BM10:BN10"/>
    <mergeCell ref="Y10:Z10"/>
    <mergeCell ref="AA10:AB10"/>
    <mergeCell ref="AG10:AH10"/>
    <mergeCell ref="AI10:AJ10"/>
    <mergeCell ref="AN10:AO10"/>
    <mergeCell ref="AP10:AQ10"/>
    <mergeCell ref="C10:D10"/>
    <mergeCell ref="E10:F10"/>
    <mergeCell ref="J10:K10"/>
    <mergeCell ref="L10:M10"/>
    <mergeCell ref="R10:S10"/>
    <mergeCell ref="T10:U10"/>
    <mergeCell ref="D8:G8"/>
    <mergeCell ref="K8:N8"/>
    <mergeCell ref="BJ7:BK7"/>
    <mergeCell ref="BL7:BM7"/>
    <mergeCell ref="BN7:BO7"/>
    <mergeCell ref="BQ7:BR7"/>
    <mergeCell ref="BS7:BT7"/>
    <mergeCell ref="BU7:BV7"/>
    <mergeCell ref="AU7:AV7"/>
    <mergeCell ref="AW7:AX7"/>
    <mergeCell ref="AY7:AZ7"/>
    <mergeCell ref="BB7:BC7"/>
    <mergeCell ref="BD7:BE7"/>
    <mergeCell ref="BF7:BG7"/>
    <mergeCell ref="AF7:AG7"/>
    <mergeCell ref="AH7:AI7"/>
    <mergeCell ref="AJ7:AK7"/>
    <mergeCell ref="AM7:AN7"/>
    <mergeCell ref="AO7:AP7"/>
    <mergeCell ref="AQ7:AR7"/>
    <mergeCell ref="Q7:R7"/>
    <mergeCell ref="S7:T7"/>
    <mergeCell ref="U7:V7"/>
    <mergeCell ref="X7:Y7"/>
    <mergeCell ref="Z7:AA7"/>
    <mergeCell ref="AB7:AC7"/>
    <mergeCell ref="B7:C7"/>
    <mergeCell ref="D7:E7"/>
    <mergeCell ref="F7:G7"/>
    <mergeCell ref="I7:J7"/>
    <mergeCell ref="K7:L7"/>
    <mergeCell ref="M7:N7"/>
    <mergeCell ref="BC4:BD5"/>
    <mergeCell ref="BE4:BF5"/>
    <mergeCell ref="BK4:BL5"/>
    <mergeCell ref="BM4:BN5"/>
    <mergeCell ref="BR4:BS5"/>
    <mergeCell ref="BT4:BU5"/>
    <mergeCell ref="AG4:AH5"/>
    <mergeCell ref="AI4:AJ5"/>
    <mergeCell ref="AN4:AO5"/>
    <mergeCell ref="AP4:AQ5"/>
    <mergeCell ref="AV4:AW5"/>
    <mergeCell ref="AX4:AY5"/>
    <mergeCell ref="BR3:BS3"/>
    <mergeCell ref="BT3:BU3"/>
    <mergeCell ref="C4:D5"/>
    <mergeCell ref="E4:F5"/>
    <mergeCell ref="J4:K5"/>
    <mergeCell ref="L4:M5"/>
    <mergeCell ref="R4:S5"/>
    <mergeCell ref="T4:U5"/>
    <mergeCell ref="Y4:Z5"/>
    <mergeCell ref="AA4:AB5"/>
    <mergeCell ref="AV3:AW3"/>
    <mergeCell ref="AX3:AY3"/>
    <mergeCell ref="BC3:BD3"/>
    <mergeCell ref="BE3:BF3"/>
    <mergeCell ref="BK3:BL3"/>
    <mergeCell ref="BM3:BN3"/>
    <mergeCell ref="Y3:Z3"/>
    <mergeCell ref="AA3:AB3"/>
    <mergeCell ref="AG3:AH3"/>
    <mergeCell ref="AI3:AJ3"/>
    <mergeCell ref="AN3:AO3"/>
    <mergeCell ref="AP3:AQ3"/>
    <mergeCell ref="C3:D3"/>
    <mergeCell ref="E3:F3"/>
    <mergeCell ref="J3:K3"/>
    <mergeCell ref="L3:M3"/>
    <mergeCell ref="R3:S3"/>
    <mergeCell ref="T3:U3"/>
    <mergeCell ref="D1:G1"/>
    <mergeCell ref="K1:N1"/>
    <mergeCell ref="S1:V1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 r:id="rId1"/>
  <headerFooter>
    <oddHeader xml:space="preserve">&amp;L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437"/>
  <sheetViews>
    <sheetView zoomScale="70" zoomScaleNormal="70" workbookViewId="0">
      <selection activeCell="A383" sqref="A1:XFD1048576"/>
    </sheetView>
  </sheetViews>
  <sheetFormatPr defaultRowHeight="18" x14ac:dyDescent="0.45"/>
  <cols>
    <col min="1" max="2" width="5.59765625" style="73" customWidth="1"/>
    <col min="3" max="4" width="29.59765625" style="73" bestFit="1" customWidth="1"/>
    <col min="5" max="11" width="5.59765625" style="73" customWidth="1"/>
    <col min="12" max="12" width="10.59765625" style="73" customWidth="1"/>
    <col min="13" max="13" width="5.59765625" style="73" customWidth="1"/>
    <col min="14" max="14" width="10.59765625" style="73" customWidth="1"/>
    <col min="15" max="15" width="5.59765625" style="73" customWidth="1"/>
    <col min="16" max="16" width="10.59765625" style="73" customWidth="1"/>
    <col min="17" max="17" width="5.59765625" style="73" customWidth="1"/>
    <col min="18" max="18" width="10.59765625" style="73" customWidth="1"/>
    <col min="19" max="19" width="5.59765625" style="73" customWidth="1"/>
    <col min="20" max="20" width="10.59765625" style="73" customWidth="1"/>
    <col min="21" max="21" width="5.59765625" style="73" customWidth="1"/>
  </cols>
  <sheetData>
    <row r="1" spans="1:21" s="25" customFormat="1" ht="311.25" customHeight="1" x14ac:dyDescent="0.45">
      <c r="A1" s="22" t="s">
        <v>14</v>
      </c>
      <c r="B1" s="22" t="s">
        <v>15</v>
      </c>
      <c r="C1" s="22" t="s">
        <v>16</v>
      </c>
      <c r="D1" s="22" t="s">
        <v>17</v>
      </c>
      <c r="E1" s="22" t="s">
        <v>18</v>
      </c>
      <c r="F1" s="22" t="s">
        <v>19</v>
      </c>
      <c r="G1" s="22" t="s">
        <v>20</v>
      </c>
      <c r="H1" s="22" t="s">
        <v>21</v>
      </c>
      <c r="I1" s="22" t="s">
        <v>22</v>
      </c>
      <c r="J1" s="23" t="s">
        <v>23</v>
      </c>
      <c r="K1" s="23" t="s">
        <v>24</v>
      </c>
      <c r="L1" s="23" t="s">
        <v>25</v>
      </c>
      <c r="M1" s="24" t="s">
        <v>26</v>
      </c>
      <c r="N1" s="23" t="s">
        <v>27</v>
      </c>
      <c r="O1" s="24" t="s">
        <v>28</v>
      </c>
      <c r="P1" s="23" t="s">
        <v>29</v>
      </c>
      <c r="Q1" s="24" t="s">
        <v>30</v>
      </c>
      <c r="R1" s="23" t="s">
        <v>31</v>
      </c>
      <c r="S1" s="24" t="s">
        <v>32</v>
      </c>
      <c r="T1" s="23" t="s">
        <v>33</v>
      </c>
      <c r="U1" s="24" t="s">
        <v>34</v>
      </c>
    </row>
    <row r="2" spans="1:21" x14ac:dyDescent="0.45">
      <c r="A2" s="13">
        <v>1</v>
      </c>
      <c r="B2" s="13">
        <v>1</v>
      </c>
      <c r="C2" s="13" t="s">
        <v>35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36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37</v>
      </c>
      <c r="D3" s="13" t="s">
        <v>38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36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39</v>
      </c>
      <c r="D4" s="13" t="s">
        <v>40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36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37</v>
      </c>
      <c r="D5" s="13" t="s">
        <v>41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36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37</v>
      </c>
      <c r="D6" s="26" t="s">
        <v>42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36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43</v>
      </c>
      <c r="D7" s="26" t="s">
        <v>44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44</v>
      </c>
      <c r="D8" s="26" t="s">
        <v>45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46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37</v>
      </c>
      <c r="D9" s="26" t="s">
        <v>47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37</v>
      </c>
      <c r="D10" s="26" t="s">
        <v>48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37</v>
      </c>
      <c r="D11" s="26" t="s">
        <v>49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50</v>
      </c>
      <c r="D12" s="26" t="s">
        <v>51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35</v>
      </c>
      <c r="D13" s="13" t="s">
        <v>52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36</v>
      </c>
      <c r="L13" s="11" t="s">
        <v>46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37</v>
      </c>
      <c r="D14" s="13" t="s">
        <v>53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36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54</v>
      </c>
      <c r="D15" s="13" t="s">
        <v>55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36</v>
      </c>
      <c r="L15" s="11" t="s">
        <v>56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37</v>
      </c>
      <c r="D16" s="13" t="s">
        <v>57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36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35</v>
      </c>
      <c r="D17" s="26" t="s">
        <v>58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37</v>
      </c>
      <c r="D18" s="26" t="s">
        <v>59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35</v>
      </c>
      <c r="D19" s="26" t="s">
        <v>60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37</v>
      </c>
      <c r="D20" s="26" t="s">
        <v>61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37</v>
      </c>
      <c r="D21" s="26" t="s">
        <v>62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63</v>
      </c>
      <c r="D22" s="13" t="s">
        <v>64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65</v>
      </c>
      <c r="L22" s="11" t="s">
        <v>64</v>
      </c>
      <c r="M22" s="12">
        <v>0</v>
      </c>
      <c r="N22" s="11" t="s">
        <v>66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67</v>
      </c>
      <c r="D23" s="13" t="s">
        <v>67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65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35</v>
      </c>
      <c r="D24" s="13" t="s">
        <v>58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36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37</v>
      </c>
      <c r="D25" s="13" t="s">
        <v>58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36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68</v>
      </c>
      <c r="D26" s="13" t="s">
        <v>68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65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69</v>
      </c>
      <c r="D27" s="13" t="s">
        <v>70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65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71</v>
      </c>
      <c r="D28" s="13" t="s">
        <v>71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65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72</v>
      </c>
      <c r="D29" s="13" t="s">
        <v>72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65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73</v>
      </c>
      <c r="D30" s="13" t="s">
        <v>73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65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74</v>
      </c>
      <c r="D31" s="13" t="s">
        <v>74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65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75</v>
      </c>
      <c r="D32" s="13" t="s">
        <v>76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36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36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75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36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36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36</v>
      </c>
      <c r="L36" s="11" t="s">
        <v>66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36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36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36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36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36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36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36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36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36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98</v>
      </c>
      <c r="D46" s="26" t="s">
        <v>99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100</v>
      </c>
      <c r="D47" s="26" t="s">
        <v>100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101</v>
      </c>
      <c r="D48" s="13" t="s">
        <v>102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65</v>
      </c>
      <c r="L48" s="11" t="s">
        <v>46</v>
      </c>
      <c r="M48" s="12">
        <v>1</v>
      </c>
      <c r="N48" s="11" t="s">
        <v>103</v>
      </c>
      <c r="O48" s="12">
        <v>0</v>
      </c>
      <c r="P48" s="11" t="s">
        <v>66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104</v>
      </c>
      <c r="D49" s="13" t="s">
        <v>104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65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104</v>
      </c>
      <c r="D50" s="13" t="s">
        <v>105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65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106</v>
      </c>
      <c r="D51" s="13" t="s">
        <v>107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65</v>
      </c>
      <c r="L51" s="11" t="s">
        <v>46</v>
      </c>
      <c r="M51" s="12">
        <v>1</v>
      </c>
      <c r="N51" s="11" t="s">
        <v>103</v>
      </c>
      <c r="O51" s="12">
        <v>0</v>
      </c>
      <c r="P51" s="11" t="s">
        <v>66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108</v>
      </c>
      <c r="D52" s="13" t="s">
        <v>108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65</v>
      </c>
      <c r="L52" s="11" t="s">
        <v>46</v>
      </c>
      <c r="M52" s="12">
        <v>1</v>
      </c>
      <c r="N52" s="11" t="s">
        <v>103</v>
      </c>
      <c r="O52" s="12">
        <v>0</v>
      </c>
      <c r="P52" s="11" t="s">
        <v>66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108</v>
      </c>
      <c r="D53" s="13" t="s">
        <v>109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65</v>
      </c>
      <c r="L53" s="11" t="s">
        <v>46</v>
      </c>
      <c r="M53" s="12">
        <v>1</v>
      </c>
      <c r="N53" s="11" t="s">
        <v>103</v>
      </c>
      <c r="O53" s="12">
        <v>0</v>
      </c>
      <c r="P53" s="11" t="s">
        <v>66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110</v>
      </c>
      <c r="D54" s="13" t="s">
        <v>111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65</v>
      </c>
      <c r="L54" s="11" t="s">
        <v>111</v>
      </c>
      <c r="M54" s="12">
        <v>0</v>
      </c>
      <c r="N54" s="11" t="s">
        <v>66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112</v>
      </c>
      <c r="D55" s="13" t="s">
        <v>112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65</v>
      </c>
      <c r="L55" s="11" t="s">
        <v>111</v>
      </c>
      <c r="M55" s="12">
        <v>0</v>
      </c>
      <c r="N55" s="11" t="s">
        <v>66</v>
      </c>
      <c r="O55" s="12">
        <v>0</v>
      </c>
      <c r="P55" s="11" t="s">
        <v>113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112</v>
      </c>
      <c r="D56" s="13" t="s">
        <v>114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65</v>
      </c>
      <c r="L56" s="11" t="s">
        <v>111</v>
      </c>
      <c r="M56" s="12">
        <v>0</v>
      </c>
      <c r="N56" s="11" t="s">
        <v>66</v>
      </c>
      <c r="O56" s="12">
        <v>0</v>
      </c>
      <c r="P56" s="11" t="s">
        <v>113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115</v>
      </c>
      <c r="D57" s="13" t="s">
        <v>116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65</v>
      </c>
      <c r="L57" s="11" t="s">
        <v>117</v>
      </c>
      <c r="M57" s="12">
        <v>0</v>
      </c>
      <c r="N57" s="11" t="s">
        <v>116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118</v>
      </c>
      <c r="D58" s="13" t="s">
        <v>118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65</v>
      </c>
      <c r="L58" s="11" t="s">
        <v>113</v>
      </c>
      <c r="M58" s="12">
        <v>0</v>
      </c>
      <c r="N58" s="11" t="s">
        <v>116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119</v>
      </c>
      <c r="D59" s="13" t="s">
        <v>120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36</v>
      </c>
      <c r="L59" s="11" t="s">
        <v>46</v>
      </c>
      <c r="M59" s="12">
        <v>1</v>
      </c>
      <c r="N59" s="11" t="s">
        <v>116</v>
      </c>
      <c r="O59" s="12">
        <v>0</v>
      </c>
      <c r="P59" s="11" t="s">
        <v>121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122</v>
      </c>
      <c r="D60" s="13" t="s">
        <v>122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36</v>
      </c>
      <c r="L60" s="11" t="s">
        <v>46</v>
      </c>
      <c r="M60" s="12">
        <v>1</v>
      </c>
      <c r="N60" s="11" t="s">
        <v>116</v>
      </c>
      <c r="O60" s="12">
        <v>0</v>
      </c>
      <c r="P60" s="11" t="s">
        <v>121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123</v>
      </c>
      <c r="D61" s="13" t="s">
        <v>124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36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125</v>
      </c>
      <c r="D62" s="13" t="s">
        <v>125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36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126</v>
      </c>
      <c r="D63" s="13" t="s">
        <v>127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65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128</v>
      </c>
      <c r="D64" s="13" t="s">
        <v>128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65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129</v>
      </c>
      <c r="D65" s="13" t="s">
        <v>130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65</v>
      </c>
      <c r="L65" s="11" t="s">
        <v>131</v>
      </c>
      <c r="M65" s="12">
        <v>0</v>
      </c>
      <c r="N65" s="11" t="s">
        <v>132</v>
      </c>
      <c r="O65" s="12">
        <v>0</v>
      </c>
      <c r="P65" s="11" t="s">
        <v>133</v>
      </c>
      <c r="Q65" s="12">
        <v>0</v>
      </c>
      <c r="R65" s="11" t="s">
        <v>134</v>
      </c>
      <c r="S65" s="12">
        <v>0</v>
      </c>
      <c r="T65" s="11" t="s">
        <v>135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136</v>
      </c>
      <c r="D66" s="13" t="s">
        <v>136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65</v>
      </c>
      <c r="L66" s="11" t="s">
        <v>66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136</v>
      </c>
      <c r="D67" s="13" t="s">
        <v>137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65</v>
      </c>
      <c r="L67" s="11" t="s">
        <v>66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138</v>
      </c>
      <c r="D68" s="26" t="s">
        <v>139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65</v>
      </c>
      <c r="L68" s="27" t="s">
        <v>139</v>
      </c>
      <c r="M68" s="28">
        <v>1</v>
      </c>
      <c r="N68" s="27" t="s">
        <v>66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140</v>
      </c>
      <c r="D69" s="26" t="s">
        <v>140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65</v>
      </c>
      <c r="L69" s="27" t="s">
        <v>139</v>
      </c>
      <c r="M69" s="28">
        <v>1</v>
      </c>
      <c r="N69" s="27" t="s">
        <v>66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140</v>
      </c>
      <c r="D70" s="26" t="s">
        <v>141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65</v>
      </c>
      <c r="L70" s="27" t="s">
        <v>139</v>
      </c>
      <c r="M70" s="28">
        <v>1</v>
      </c>
      <c r="N70" s="27" t="s">
        <v>66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142</v>
      </c>
      <c r="D71" s="26" t="s">
        <v>143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65</v>
      </c>
      <c r="L71" s="27" t="s">
        <v>143</v>
      </c>
      <c r="M71" s="28">
        <v>1</v>
      </c>
      <c r="N71" s="27" t="s">
        <v>66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144</v>
      </c>
      <c r="D72" s="26" t="s">
        <v>144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65</v>
      </c>
      <c r="L72" s="27" t="s">
        <v>143</v>
      </c>
      <c r="M72" s="28">
        <v>1</v>
      </c>
      <c r="N72" s="27" t="s">
        <v>66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144</v>
      </c>
      <c r="D73" s="26" t="s">
        <v>145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65</v>
      </c>
      <c r="L73" s="27" t="s">
        <v>143</v>
      </c>
      <c r="M73" s="28">
        <v>1</v>
      </c>
      <c r="N73" s="27" t="s">
        <v>66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146</v>
      </c>
      <c r="D74" s="26" t="s">
        <v>147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65</v>
      </c>
      <c r="L74" s="27" t="s">
        <v>147</v>
      </c>
      <c r="M74" s="28">
        <v>1</v>
      </c>
      <c r="N74" s="27" t="s">
        <v>66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148</v>
      </c>
      <c r="D75" s="26" t="s">
        <v>148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65</v>
      </c>
      <c r="L75" s="27" t="s">
        <v>147</v>
      </c>
      <c r="M75" s="28">
        <v>1</v>
      </c>
      <c r="N75" s="27" t="s">
        <v>66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148</v>
      </c>
      <c r="D76" s="26" t="s">
        <v>149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65</v>
      </c>
      <c r="L76" s="27" t="s">
        <v>147</v>
      </c>
      <c r="M76" s="28">
        <v>1</v>
      </c>
      <c r="N76" s="27" t="s">
        <v>66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150</v>
      </c>
      <c r="D77" s="26" t="s">
        <v>151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65</v>
      </c>
      <c r="L77" s="27" t="s">
        <v>46</v>
      </c>
      <c r="M77" s="28">
        <v>1</v>
      </c>
      <c r="N77" s="27" t="s">
        <v>66</v>
      </c>
      <c r="O77" s="28">
        <v>0</v>
      </c>
      <c r="P77" s="27" t="s">
        <v>152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153</v>
      </c>
      <c r="D78" s="26" t="s">
        <v>153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65</v>
      </c>
      <c r="L78" s="27" t="s">
        <v>46</v>
      </c>
      <c r="M78" s="28">
        <v>1</v>
      </c>
      <c r="N78" s="27" t="s">
        <v>66</v>
      </c>
      <c r="O78" s="28">
        <v>0</v>
      </c>
      <c r="P78" s="27" t="s">
        <v>151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153</v>
      </c>
      <c r="D79" s="26" t="s">
        <v>154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65</v>
      </c>
      <c r="L79" s="27" t="s">
        <v>46</v>
      </c>
      <c r="M79" s="28">
        <v>1</v>
      </c>
      <c r="N79" s="27" t="s">
        <v>66</v>
      </c>
      <c r="O79" s="28">
        <v>0</v>
      </c>
      <c r="P79" s="27" t="s">
        <v>151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155</v>
      </c>
      <c r="D80" s="26" t="s">
        <v>156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65</v>
      </c>
      <c r="L80" s="27" t="s">
        <v>46</v>
      </c>
      <c r="M80" s="28">
        <v>1</v>
      </c>
      <c r="N80" s="27" t="s">
        <v>66</v>
      </c>
      <c r="O80" s="28">
        <v>0</v>
      </c>
      <c r="P80" s="27" t="s">
        <v>156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157</v>
      </c>
      <c r="D81" s="26" t="s">
        <v>157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65</v>
      </c>
      <c r="L81" s="27" t="s">
        <v>46</v>
      </c>
      <c r="M81" s="28">
        <v>1</v>
      </c>
      <c r="N81" s="27" t="s">
        <v>66</v>
      </c>
      <c r="O81" s="28">
        <v>0</v>
      </c>
      <c r="P81" s="27" t="s">
        <v>156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157</v>
      </c>
      <c r="D82" s="26" t="s">
        <v>158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65</v>
      </c>
      <c r="L82" s="27" t="s">
        <v>46</v>
      </c>
      <c r="M82" s="28">
        <v>1</v>
      </c>
      <c r="N82" s="27" t="s">
        <v>66</v>
      </c>
      <c r="O82" s="28">
        <v>0</v>
      </c>
      <c r="P82" s="27" t="s">
        <v>156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159</v>
      </c>
      <c r="D83" s="26" t="s">
        <v>160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65</v>
      </c>
      <c r="L83" s="27" t="s">
        <v>46</v>
      </c>
      <c r="M83" s="28">
        <v>1</v>
      </c>
      <c r="N83" s="27" t="s">
        <v>66</v>
      </c>
      <c r="O83" s="28">
        <v>0</v>
      </c>
      <c r="P83" s="27" t="s">
        <v>160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161</v>
      </c>
      <c r="D84" s="26" t="s">
        <v>161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65</v>
      </c>
      <c r="L84" s="27" t="s">
        <v>46</v>
      </c>
      <c r="M84" s="28">
        <v>1</v>
      </c>
      <c r="N84" s="27" t="s">
        <v>66</v>
      </c>
      <c r="O84" s="28">
        <v>0</v>
      </c>
      <c r="P84" s="27" t="s">
        <v>160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161</v>
      </c>
      <c r="D85" s="26" t="s">
        <v>162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65</v>
      </c>
      <c r="L85" s="27" t="s">
        <v>46</v>
      </c>
      <c r="M85" s="28">
        <v>1</v>
      </c>
      <c r="N85" s="27" t="s">
        <v>66</v>
      </c>
      <c r="O85" s="28">
        <v>0</v>
      </c>
      <c r="P85" s="27" t="s">
        <v>160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163</v>
      </c>
      <c r="D86" s="26" t="s">
        <v>164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65</v>
      </c>
      <c r="L86" s="27" t="s">
        <v>46</v>
      </c>
      <c r="M86" s="28">
        <v>1</v>
      </c>
      <c r="N86" s="27" t="s">
        <v>164</v>
      </c>
      <c r="O86" s="28">
        <v>0</v>
      </c>
      <c r="P86" s="27" t="s">
        <v>66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165</v>
      </c>
      <c r="D87" s="26" t="s">
        <v>165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65</v>
      </c>
      <c r="L87" s="27" t="s">
        <v>46</v>
      </c>
      <c r="M87" s="28">
        <v>1</v>
      </c>
      <c r="N87" s="27" t="s">
        <v>164</v>
      </c>
      <c r="O87" s="28">
        <v>0</v>
      </c>
      <c r="P87" s="27" t="s">
        <v>66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165</v>
      </c>
      <c r="D88" s="26" t="s">
        <v>166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65</v>
      </c>
      <c r="L88" s="27" t="s">
        <v>46</v>
      </c>
      <c r="M88" s="28">
        <v>1</v>
      </c>
      <c r="N88" s="27" t="s">
        <v>164</v>
      </c>
      <c r="O88" s="28">
        <v>0</v>
      </c>
      <c r="P88" s="27" t="s">
        <v>66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167</v>
      </c>
      <c r="D89" s="26" t="s">
        <v>168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65</v>
      </c>
      <c r="L89" s="27" t="s">
        <v>168</v>
      </c>
      <c r="M89" s="28">
        <v>0</v>
      </c>
      <c r="N89" s="27" t="s">
        <v>117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169</v>
      </c>
      <c r="D90" s="26" t="s">
        <v>169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65</v>
      </c>
      <c r="L90" s="27" t="s">
        <v>168</v>
      </c>
      <c r="M90" s="28">
        <v>0</v>
      </c>
      <c r="N90" s="27" t="s">
        <v>117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169</v>
      </c>
      <c r="D91" s="26" t="s">
        <v>170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65</v>
      </c>
      <c r="L91" s="27" t="s">
        <v>168</v>
      </c>
      <c r="M91" s="28">
        <v>0</v>
      </c>
      <c r="N91" s="27" t="s">
        <v>117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171</v>
      </c>
      <c r="D92" s="13" t="s">
        <v>172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65</v>
      </c>
      <c r="L92" s="11" t="s">
        <v>172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173</v>
      </c>
      <c r="D93" s="13" t="s">
        <v>173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65</v>
      </c>
      <c r="L93" s="11" t="s">
        <v>172</v>
      </c>
      <c r="M93" s="12">
        <v>1</v>
      </c>
      <c r="N93" s="11" t="s">
        <v>66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173</v>
      </c>
      <c r="D94" s="13" t="s">
        <v>174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65</v>
      </c>
      <c r="L94" s="11" t="s">
        <v>172</v>
      </c>
      <c r="M94" s="12">
        <v>1</v>
      </c>
      <c r="N94" s="11" t="s">
        <v>66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175</v>
      </c>
      <c r="D95" s="13" t="s">
        <v>46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65</v>
      </c>
      <c r="L95" s="11" t="s">
        <v>46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176</v>
      </c>
      <c r="D96" s="13" t="s">
        <v>176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65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177</v>
      </c>
      <c r="D97" s="13" t="s">
        <v>9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65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178</v>
      </c>
      <c r="D98" s="13" t="s">
        <v>178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65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179</v>
      </c>
      <c r="D99" s="13" t="s">
        <v>179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65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180</v>
      </c>
      <c r="D100" s="13" t="s">
        <v>180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65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181</v>
      </c>
      <c r="D101" s="13" t="s">
        <v>182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65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183</v>
      </c>
      <c r="D102" s="13" t="s">
        <v>182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65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184</v>
      </c>
      <c r="D103" s="13" t="s">
        <v>185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65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186</v>
      </c>
      <c r="D104" s="13" t="s">
        <v>185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65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187</v>
      </c>
      <c r="D105" s="13" t="s">
        <v>188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65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189</v>
      </c>
      <c r="D106" s="13" t="s">
        <v>188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65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190</v>
      </c>
      <c r="D107" s="13" t="s">
        <v>190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65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191</v>
      </c>
      <c r="D108" s="13" t="s">
        <v>191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65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192</v>
      </c>
      <c r="D109" s="26" t="s">
        <v>193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65</v>
      </c>
      <c r="L109" s="27" t="s">
        <v>193</v>
      </c>
      <c r="M109" s="28">
        <v>0</v>
      </c>
      <c r="N109" s="27" t="s">
        <v>117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194</v>
      </c>
      <c r="D110" s="26" t="s">
        <v>194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65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195</v>
      </c>
      <c r="D111" s="13" t="s">
        <v>195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65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196</v>
      </c>
      <c r="D112" s="13" t="s">
        <v>196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65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7</v>
      </c>
      <c r="D113" s="13" t="s">
        <v>7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65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197</v>
      </c>
      <c r="D114" s="13" t="s">
        <v>197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65</v>
      </c>
      <c r="L114" s="11" t="s">
        <v>197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198</v>
      </c>
      <c r="D115" s="13" t="s">
        <v>198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65</v>
      </c>
      <c r="L115" s="11" t="s">
        <v>198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199</v>
      </c>
      <c r="D116" s="13" t="s">
        <v>199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65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200</v>
      </c>
      <c r="D117" s="13" t="s">
        <v>200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65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201</v>
      </c>
      <c r="D118" s="13" t="s">
        <v>201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65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202</v>
      </c>
      <c r="D119" s="13" t="s">
        <v>202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65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203</v>
      </c>
      <c r="D120" s="13" t="s">
        <v>203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65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204</v>
      </c>
      <c r="D121" s="13" t="s">
        <v>204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65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205</v>
      </c>
      <c r="D122" s="13" t="s">
        <v>205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65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206</v>
      </c>
      <c r="D123" s="26" t="s">
        <v>206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65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207</v>
      </c>
      <c r="D124" s="26" t="s">
        <v>207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65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208</v>
      </c>
      <c r="D125" s="26" t="s">
        <v>208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65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209</v>
      </c>
      <c r="D126" s="13" t="s">
        <v>209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65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210</v>
      </c>
      <c r="D127" s="13" t="s">
        <v>210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65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211</v>
      </c>
      <c r="D128" s="13" t="s">
        <v>211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65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212</v>
      </c>
      <c r="D129" s="13" t="s">
        <v>212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65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213</v>
      </c>
      <c r="D130" s="13" t="s">
        <v>213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65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214</v>
      </c>
      <c r="D131" s="13" t="s">
        <v>214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65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215</v>
      </c>
      <c r="D132" s="26" t="s">
        <v>215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216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217</v>
      </c>
      <c r="D133" s="13" t="s">
        <v>217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65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218</v>
      </c>
      <c r="D134" s="13" t="s">
        <v>218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65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219</v>
      </c>
      <c r="D135" s="13" t="s">
        <v>219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65</v>
      </c>
      <c r="L135" s="11" t="s">
        <v>219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220</v>
      </c>
      <c r="D136" s="13" t="s">
        <v>220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65</v>
      </c>
      <c r="L136" s="11" t="s">
        <v>46</v>
      </c>
      <c r="M136" s="12">
        <v>1</v>
      </c>
      <c r="N136" s="11" t="s">
        <v>116</v>
      </c>
      <c r="O136" s="12">
        <v>0</v>
      </c>
      <c r="P136" s="11" t="s">
        <v>66</v>
      </c>
      <c r="Q136" s="12">
        <v>0</v>
      </c>
      <c r="R136" s="11" t="s">
        <v>113</v>
      </c>
      <c r="S136" s="12">
        <v>0</v>
      </c>
      <c r="T136" s="11" t="s">
        <v>221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222</v>
      </c>
      <c r="D137" s="13" t="s">
        <v>222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65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223</v>
      </c>
      <c r="D138" s="26" t="s">
        <v>223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224</v>
      </c>
      <c r="D139" s="13" t="s">
        <v>224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65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225</v>
      </c>
      <c r="D140" s="13" t="s">
        <v>225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65</v>
      </c>
      <c r="L140" s="11" t="s">
        <v>225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226</v>
      </c>
      <c r="D141" s="26" t="s">
        <v>226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227</v>
      </c>
      <c r="D142" s="26" t="s">
        <v>228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229</v>
      </c>
      <c r="D143" s="13" t="s">
        <v>229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65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230</v>
      </c>
      <c r="D144" s="13" t="s">
        <v>230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65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231</v>
      </c>
      <c r="D145" s="13" t="s">
        <v>231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65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232</v>
      </c>
      <c r="D146" s="13" t="s">
        <v>231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65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44</v>
      </c>
      <c r="D147" s="13" t="s">
        <v>44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65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233</v>
      </c>
      <c r="D148" s="13" t="s">
        <v>231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65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234</v>
      </c>
      <c r="D149" s="13" t="s">
        <v>231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65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235</v>
      </c>
      <c r="D150" s="13" t="s">
        <v>231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65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236</v>
      </c>
      <c r="D151" s="13" t="s">
        <v>237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65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238</v>
      </c>
      <c r="D152" s="13" t="s">
        <v>239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65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240</v>
      </c>
      <c r="D153" s="13" t="s">
        <v>240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65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241</v>
      </c>
      <c r="D154" s="13" t="s">
        <v>241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65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242</v>
      </c>
      <c r="D155" s="13" t="s">
        <v>243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65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244</v>
      </c>
      <c r="D156" s="13" t="s">
        <v>245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65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246</v>
      </c>
      <c r="D157" s="13" t="s">
        <v>246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65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247</v>
      </c>
      <c r="D158" s="13" t="s">
        <v>245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65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248</v>
      </c>
      <c r="D159" s="13" t="s">
        <v>248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65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249</v>
      </c>
      <c r="D160" s="13" t="s">
        <v>245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65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250</v>
      </c>
      <c r="D161" s="13" t="s">
        <v>251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65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9</v>
      </c>
      <c r="D162" s="13" t="s">
        <v>9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65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252</v>
      </c>
      <c r="D163" s="13" t="s">
        <v>252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65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253</v>
      </c>
      <c r="D164" s="13" t="s">
        <v>254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65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255</v>
      </c>
      <c r="D165" s="13" t="s">
        <v>245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65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102</v>
      </c>
      <c r="D166" s="13" t="s">
        <v>256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65</v>
      </c>
      <c r="L166" s="11" t="s">
        <v>46</v>
      </c>
      <c r="M166" s="12">
        <v>1</v>
      </c>
      <c r="N166" s="11" t="s">
        <v>103</v>
      </c>
      <c r="O166" s="12">
        <v>1</v>
      </c>
      <c r="P166" s="11" t="s">
        <v>66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257</v>
      </c>
      <c r="D167" s="13" t="s">
        <v>245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65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258</v>
      </c>
      <c r="D168" s="13" t="s">
        <v>259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65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260</v>
      </c>
      <c r="D169" s="13" t="s">
        <v>245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65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261</v>
      </c>
      <c r="D170" s="13" t="s">
        <v>262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65</v>
      </c>
      <c r="L170" s="11" t="s">
        <v>262</v>
      </c>
      <c r="M170" s="12">
        <v>0</v>
      </c>
      <c r="N170" s="11" t="s">
        <v>66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263</v>
      </c>
      <c r="D171" s="13" t="s">
        <v>264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65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265</v>
      </c>
      <c r="D172" s="13" t="s">
        <v>264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65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266</v>
      </c>
      <c r="D173" s="13" t="s">
        <v>264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65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267</v>
      </c>
      <c r="D174" s="13" t="s">
        <v>264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65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268</v>
      </c>
      <c r="D175" s="13" t="s">
        <v>264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65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269</v>
      </c>
      <c r="D176" s="13" t="s">
        <v>264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65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270</v>
      </c>
      <c r="D177" s="13" t="s">
        <v>264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65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271</v>
      </c>
      <c r="D178" s="13" t="s">
        <v>264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65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272</v>
      </c>
      <c r="D179" s="13" t="s">
        <v>264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65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273</v>
      </c>
      <c r="D180" s="13" t="s">
        <v>264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65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274</v>
      </c>
      <c r="D181" s="13" t="s">
        <v>264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65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275</v>
      </c>
      <c r="D182" s="13" t="s">
        <v>276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65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277</v>
      </c>
      <c r="D183" s="13" t="s">
        <v>278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65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279</v>
      </c>
      <c r="D184" s="13" t="s">
        <v>264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65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280</v>
      </c>
      <c r="D185" s="13" t="s">
        <v>264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65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281</v>
      </c>
      <c r="D186" s="13" t="s">
        <v>281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65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282</v>
      </c>
      <c r="D187" s="13" t="s">
        <v>282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65</v>
      </c>
      <c r="L187" s="11" t="s">
        <v>283</v>
      </c>
      <c r="M187" s="12">
        <v>0</v>
      </c>
      <c r="N187" s="11" t="s">
        <v>284</v>
      </c>
      <c r="O187" s="12">
        <v>0</v>
      </c>
      <c r="P187" s="11" t="s">
        <v>285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286</v>
      </c>
      <c r="D188" s="13" t="s">
        <v>286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65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287</v>
      </c>
      <c r="D189" s="13" t="s">
        <v>287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65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288</v>
      </c>
      <c r="D190" s="13" t="s">
        <v>288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65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289</v>
      </c>
      <c r="D191" s="13" t="s">
        <v>289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65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290</v>
      </c>
      <c r="D192" s="13" t="s">
        <v>290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65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291</v>
      </c>
      <c r="D193" s="13" t="s">
        <v>291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65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292</v>
      </c>
      <c r="D194" s="10" t="s">
        <v>293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65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56</v>
      </c>
      <c r="D195" s="30" t="s">
        <v>56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46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294</v>
      </c>
      <c r="D196" s="30" t="s">
        <v>294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295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296</v>
      </c>
      <c r="D197" s="30" t="s">
        <v>296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297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298</v>
      </c>
      <c r="D198" s="30" t="s">
        <v>298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298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299</v>
      </c>
      <c r="D199" s="30" t="s">
        <v>299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299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300</v>
      </c>
      <c r="D200" s="30" t="s">
        <v>300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300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301</v>
      </c>
      <c r="D201" s="30" t="s">
        <v>301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302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303</v>
      </c>
      <c r="D202" s="30" t="s">
        <v>303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302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304</v>
      </c>
      <c r="D203" s="30" t="s">
        <v>304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302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305</v>
      </c>
      <c r="D204" s="30" t="s">
        <v>305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302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306</v>
      </c>
      <c r="D205" s="30" t="s">
        <v>306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302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307</v>
      </c>
      <c r="D206" s="30" t="s">
        <v>307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302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308</v>
      </c>
      <c r="D207" s="30" t="s">
        <v>309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302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310</v>
      </c>
      <c r="D208" s="30" t="s">
        <v>310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310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250</v>
      </c>
      <c r="D209" s="30" t="s">
        <v>250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250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311</v>
      </c>
      <c r="D210" s="30" t="s">
        <v>311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311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312</v>
      </c>
      <c r="D211" s="30" t="s">
        <v>312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312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313</v>
      </c>
      <c r="D212" s="30" t="s">
        <v>314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314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313</v>
      </c>
      <c r="D213" s="30" t="s">
        <v>215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215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225</v>
      </c>
      <c r="D214" s="30" t="s">
        <v>315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315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66</v>
      </c>
      <c r="D215" s="30" t="s">
        <v>66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66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113</v>
      </c>
      <c r="D216" s="30" t="s">
        <v>113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113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316</v>
      </c>
      <c r="D217" s="30" t="s">
        <v>317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317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318</v>
      </c>
      <c r="D218" s="30" t="s">
        <v>318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318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116</v>
      </c>
      <c r="D219" s="30" t="s">
        <v>116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116</v>
      </c>
      <c r="M219" s="32">
        <v>0</v>
      </c>
      <c r="N219" s="31" t="s">
        <v>117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319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320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321</v>
      </c>
      <c r="D221" s="30" t="s">
        <v>321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321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156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322</v>
      </c>
      <c r="D223" s="30" t="s">
        <v>322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323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324</v>
      </c>
      <c r="D224" s="30" t="s">
        <v>324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325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326</v>
      </c>
      <c r="D225" s="30" t="s">
        <v>326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327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328</v>
      </c>
      <c r="D226" s="30" t="s">
        <v>328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329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330</v>
      </c>
      <c r="D227" s="30" t="s">
        <v>330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331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332</v>
      </c>
      <c r="D228" s="30" t="s">
        <v>332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333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334</v>
      </c>
      <c r="D229" s="30" t="s">
        <v>334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335</v>
      </c>
      <c r="M229" s="32">
        <v>0</v>
      </c>
      <c r="N229" s="31" t="s">
        <v>336</v>
      </c>
      <c r="O229" s="32">
        <v>0</v>
      </c>
      <c r="P229" s="31" t="s">
        <v>66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334</v>
      </c>
      <c r="D230" s="30" t="s">
        <v>334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335</v>
      </c>
      <c r="M230" s="32">
        <v>0</v>
      </c>
      <c r="N230" s="31" t="s">
        <v>336</v>
      </c>
      <c r="O230" s="32">
        <v>0</v>
      </c>
      <c r="P230" s="31" t="s">
        <v>66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337</v>
      </c>
      <c r="D231" s="30" t="s">
        <v>337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337</v>
      </c>
      <c r="M231" s="32">
        <v>0</v>
      </c>
      <c r="N231" s="31" t="s">
        <v>117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338</v>
      </c>
      <c r="D232" s="30" t="s">
        <v>338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338</v>
      </c>
      <c r="M232" s="32">
        <v>0</v>
      </c>
      <c r="N232" s="31" t="s">
        <v>56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339</v>
      </c>
      <c r="D233" s="30" t="s">
        <v>339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339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340</v>
      </c>
      <c r="D234" s="30" t="s">
        <v>340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340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341</v>
      </c>
      <c r="D235" s="30" t="s">
        <v>341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341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342</v>
      </c>
      <c r="D236" s="30" t="s">
        <v>342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342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343</v>
      </c>
      <c r="D237" s="30" t="s">
        <v>343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343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344</v>
      </c>
      <c r="D238" s="30" t="s">
        <v>344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344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345</v>
      </c>
      <c r="D239" s="30" t="s">
        <v>345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345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346</v>
      </c>
      <c r="D240" s="30" t="s">
        <v>346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346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347</v>
      </c>
      <c r="D241" s="30" t="s">
        <v>347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46</v>
      </c>
      <c r="M241" s="32">
        <v>1</v>
      </c>
      <c r="N241" s="31" t="s">
        <v>116</v>
      </c>
      <c r="O241" s="32">
        <v>0</v>
      </c>
      <c r="P241" s="31" t="s">
        <v>348</v>
      </c>
      <c r="Q241" s="32">
        <v>0</v>
      </c>
      <c r="R241" s="31" t="s">
        <v>349</v>
      </c>
      <c r="S241" s="32">
        <v>0</v>
      </c>
      <c r="T241" s="31" t="s">
        <v>350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351</v>
      </c>
      <c r="D242" s="30" t="s">
        <v>351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351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352</v>
      </c>
      <c r="D243" s="30" t="s">
        <v>352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352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353</v>
      </c>
      <c r="D244" s="30" t="s">
        <v>353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353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354</v>
      </c>
      <c r="D245" s="30" t="s">
        <v>354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354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355</v>
      </c>
      <c r="D246" s="30" t="s">
        <v>355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356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357</v>
      </c>
      <c r="D247" s="30" t="s">
        <v>357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357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358</v>
      </c>
      <c r="D248" s="30" t="s">
        <v>358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358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290</v>
      </c>
      <c r="D249" s="30" t="s">
        <v>290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290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291</v>
      </c>
      <c r="D250" s="30" t="s">
        <v>291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291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349</v>
      </c>
      <c r="D251" s="30" t="s">
        <v>349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349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350</v>
      </c>
      <c r="D252" s="30" t="s">
        <v>350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350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359</v>
      </c>
      <c r="D253" s="33" t="s">
        <v>359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116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360</v>
      </c>
      <c r="D254" s="36" t="s">
        <v>360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361</v>
      </c>
      <c r="D255" s="39" t="s">
        <v>361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362</v>
      </c>
      <c r="D256" s="39" t="s">
        <v>362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363</v>
      </c>
      <c r="D257" s="39" t="s">
        <v>363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364</v>
      </c>
      <c r="D258" s="39" t="s">
        <v>364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365</v>
      </c>
      <c r="D259" s="39" t="s">
        <v>365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321</v>
      </c>
      <c r="D260" s="39" t="s">
        <v>321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113</v>
      </c>
      <c r="D261" s="39" t="s">
        <v>113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366</v>
      </c>
      <c r="D262" s="39" t="s">
        <v>366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367</v>
      </c>
      <c r="D263" s="39" t="s">
        <v>367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368</v>
      </c>
      <c r="D264" s="39" t="s">
        <v>368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369</v>
      </c>
      <c r="D265" s="39" t="s">
        <v>369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370</v>
      </c>
      <c r="D266" s="39" t="s">
        <v>370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371</v>
      </c>
      <c r="D267" s="39" t="s">
        <v>371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372</v>
      </c>
      <c r="D268" s="39" t="s">
        <v>372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373</v>
      </c>
      <c r="D269" s="42" t="s">
        <v>373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374</v>
      </c>
      <c r="D270" s="13" t="s">
        <v>375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65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376</v>
      </c>
      <c r="D271" s="13" t="s">
        <v>375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65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377</v>
      </c>
      <c r="D272" s="13" t="s">
        <v>377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65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378</v>
      </c>
      <c r="D273" s="13" t="s">
        <v>378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65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379</v>
      </c>
      <c r="D274" s="13" t="s">
        <v>380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65</v>
      </c>
      <c r="L274" s="11" t="s">
        <v>66</v>
      </c>
      <c r="M274" s="12">
        <v>0</v>
      </c>
      <c r="N274" s="11" t="s">
        <v>381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382</v>
      </c>
      <c r="D275" s="13" t="s">
        <v>380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65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383</v>
      </c>
      <c r="D276" s="13" t="s">
        <v>384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36</v>
      </c>
      <c r="L276" s="11" t="s">
        <v>312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385</v>
      </c>
      <c r="D277" s="13" t="s">
        <v>384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36</v>
      </c>
      <c r="L277" s="11" t="s">
        <v>312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386</v>
      </c>
      <c r="D278" s="13" t="s">
        <v>386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65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387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65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317</v>
      </c>
      <c r="D280" s="13" t="s">
        <v>317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65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388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65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389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65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390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65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391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65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392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65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393</v>
      </c>
      <c r="D286" s="13" t="s">
        <v>394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65</v>
      </c>
      <c r="L286" s="11" t="s">
        <v>394</v>
      </c>
      <c r="M286" s="12">
        <v>0</v>
      </c>
      <c r="N286" s="11" t="s">
        <v>395</v>
      </c>
      <c r="O286" s="12">
        <v>0</v>
      </c>
      <c r="P286" s="11" t="s">
        <v>117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396</v>
      </c>
      <c r="D287" s="13" t="s">
        <v>394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65</v>
      </c>
      <c r="L287" s="11" t="s">
        <v>394</v>
      </c>
      <c r="M287" s="12">
        <v>0</v>
      </c>
      <c r="N287" s="11" t="s">
        <v>116</v>
      </c>
      <c r="O287" s="12">
        <v>0</v>
      </c>
      <c r="P287" s="11" t="s">
        <v>117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116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65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397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65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398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65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399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65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400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65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401</v>
      </c>
      <c r="D293" s="13" t="s">
        <v>402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65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403</v>
      </c>
      <c r="D294" s="13" t="s">
        <v>403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65</v>
      </c>
      <c r="L294" s="11" t="s">
        <v>46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185</v>
      </c>
      <c r="D295" s="13" t="s">
        <v>403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65</v>
      </c>
      <c r="L295" s="11" t="s">
        <v>46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404</v>
      </c>
      <c r="D296" s="13" t="s">
        <v>405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65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406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65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407</v>
      </c>
      <c r="D298" s="13" t="s">
        <v>407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65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408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65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409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65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410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65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411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65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412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65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413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65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414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65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415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65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416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65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417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65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418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65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419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65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420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65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421</v>
      </c>
      <c r="D312" s="13" t="s">
        <v>422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65</v>
      </c>
      <c r="L312" s="11" t="s">
        <v>66</v>
      </c>
      <c r="M312" s="12">
        <v>0</v>
      </c>
      <c r="N312" s="11" t="s">
        <v>321</v>
      </c>
      <c r="O312" s="12">
        <v>0</v>
      </c>
      <c r="P312" s="11" t="s">
        <v>338</v>
      </c>
      <c r="Q312" s="12">
        <v>0</v>
      </c>
      <c r="R312" s="11" t="s">
        <v>423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424</v>
      </c>
      <c r="D313" s="13" t="s">
        <v>422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65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425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65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426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65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427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65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428</v>
      </c>
      <c r="D317" s="13" t="s">
        <v>428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65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429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65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430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65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431</v>
      </c>
      <c r="D320" s="13" t="s">
        <v>431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65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432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65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433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65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434</v>
      </c>
      <c r="D323" s="13" t="s">
        <v>435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65</v>
      </c>
      <c r="L323" s="11" t="s">
        <v>9</v>
      </c>
      <c r="M323" s="12">
        <v>0</v>
      </c>
      <c r="N323" s="11" t="s">
        <v>134</v>
      </c>
      <c r="O323" s="12">
        <v>0</v>
      </c>
      <c r="P323" s="11" t="s">
        <v>135</v>
      </c>
      <c r="Q323" s="12">
        <v>0</v>
      </c>
      <c r="R323" s="11" t="s">
        <v>436</v>
      </c>
      <c r="S323" s="12">
        <v>0</v>
      </c>
      <c r="T323" s="11" t="s">
        <v>437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438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65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439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65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440</v>
      </c>
      <c r="D326" s="13" t="s">
        <v>435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65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441</v>
      </c>
      <c r="D327" s="13" t="s">
        <v>442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65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441</v>
      </c>
      <c r="D328" s="13" t="s">
        <v>443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65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444</v>
      </c>
      <c r="D329" s="13" t="s">
        <v>231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65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445</v>
      </c>
      <c r="D330" s="13" t="s">
        <v>445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65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446</v>
      </c>
      <c r="D331" s="13" t="s">
        <v>446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65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447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65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448</v>
      </c>
      <c r="D333" s="13" t="s">
        <v>449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65</v>
      </c>
      <c r="L333" s="11" t="s">
        <v>381</v>
      </c>
      <c r="M333" s="12">
        <v>0</v>
      </c>
      <c r="N333" s="11" t="s">
        <v>66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450</v>
      </c>
      <c r="D334" s="13" t="s">
        <v>450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65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451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65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452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65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453</v>
      </c>
      <c r="D337" s="13" t="s">
        <v>454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65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455</v>
      </c>
      <c r="D338" s="13" t="s">
        <v>456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65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326</v>
      </c>
      <c r="D339" s="13" t="s">
        <v>457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65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458</v>
      </c>
      <c r="D340" s="13" t="s">
        <v>458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65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459</v>
      </c>
      <c r="D341" s="13" t="s">
        <v>459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65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332</v>
      </c>
      <c r="D342" s="13" t="s">
        <v>332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65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460</v>
      </c>
      <c r="D343" s="13" t="s">
        <v>460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65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209</v>
      </c>
      <c r="D344" s="13" t="s">
        <v>209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65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461</v>
      </c>
      <c r="D345" s="13" t="s">
        <v>243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65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462</v>
      </c>
      <c r="D346" s="13" t="s">
        <v>462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65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463</v>
      </c>
      <c r="D347" s="13" t="s">
        <v>463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65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464</v>
      </c>
      <c r="D348" s="26" t="s">
        <v>464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65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465</v>
      </c>
      <c r="D349" s="26" t="s">
        <v>465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65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466</v>
      </c>
      <c r="D350" s="26" t="s">
        <v>466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65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467</v>
      </c>
      <c r="D351" s="13" t="s">
        <v>467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65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468</v>
      </c>
      <c r="D352" s="13" t="s">
        <v>468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65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469</v>
      </c>
      <c r="D353" s="13" t="s">
        <v>469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65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231</v>
      </c>
      <c r="D354" s="13" t="s">
        <v>231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65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470</v>
      </c>
      <c r="D355" s="13" t="s">
        <v>470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65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471</v>
      </c>
      <c r="D356" s="13" t="s">
        <v>471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65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472</v>
      </c>
      <c r="D357" s="13" t="s">
        <v>472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65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473</v>
      </c>
      <c r="D358" s="13" t="s">
        <v>474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65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475</v>
      </c>
      <c r="D359" s="13" t="s">
        <v>475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65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476</v>
      </c>
      <c r="D360" s="13" t="s">
        <v>476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65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477</v>
      </c>
      <c r="D361" s="13" t="s">
        <v>477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65</v>
      </c>
      <c r="L361" s="11" t="s">
        <v>477</v>
      </c>
      <c r="M361" s="12">
        <v>0</v>
      </c>
      <c r="N361" s="11" t="s">
        <v>66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478</v>
      </c>
      <c r="D362" s="13" t="s">
        <v>478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65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479</v>
      </c>
      <c r="D363" s="13" t="s">
        <v>479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36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480</v>
      </c>
      <c r="D364" s="13" t="s">
        <v>480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36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481</v>
      </c>
      <c r="D365" s="13" t="s">
        <v>481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65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44</v>
      </c>
      <c r="D366" s="13" t="s">
        <v>44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65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482</v>
      </c>
      <c r="D367" s="13" t="s">
        <v>482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65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483</v>
      </c>
      <c r="D368" s="13" t="s">
        <v>483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65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484</v>
      </c>
      <c r="D369" s="13" t="s">
        <v>484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65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485</v>
      </c>
      <c r="D370" s="13" t="s">
        <v>485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65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486</v>
      </c>
      <c r="D371" s="13" t="s">
        <v>487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36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488</v>
      </c>
      <c r="D372" s="26" t="s">
        <v>489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65</v>
      </c>
      <c r="L372" s="27" t="s">
        <v>489</v>
      </c>
      <c r="M372" s="28">
        <v>0</v>
      </c>
      <c r="N372" s="27" t="s">
        <v>116</v>
      </c>
      <c r="O372" s="28">
        <v>0</v>
      </c>
      <c r="P372" s="27" t="s">
        <v>66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490</v>
      </c>
      <c r="D373" s="26" t="s">
        <v>489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65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219</v>
      </c>
      <c r="D374" s="13" t="s">
        <v>219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65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491</v>
      </c>
      <c r="D375" s="13" t="s">
        <v>491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65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492</v>
      </c>
      <c r="D376" s="26" t="s">
        <v>493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65</v>
      </c>
      <c r="L376" s="27" t="s">
        <v>46</v>
      </c>
      <c r="M376" s="28">
        <v>1</v>
      </c>
      <c r="N376" s="27" t="s">
        <v>103</v>
      </c>
      <c r="O376" s="28">
        <v>1</v>
      </c>
      <c r="P376" s="27" t="s">
        <v>66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494</v>
      </c>
      <c r="D377" s="26" t="s">
        <v>495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65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496</v>
      </c>
      <c r="D378" s="26" t="s">
        <v>497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65</v>
      </c>
      <c r="L378" s="27" t="s">
        <v>497</v>
      </c>
      <c r="M378" s="28">
        <v>0</v>
      </c>
      <c r="N378" s="27" t="s">
        <v>116</v>
      </c>
      <c r="O378" s="28">
        <v>0</v>
      </c>
      <c r="P378" s="27" t="s">
        <v>117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498</v>
      </c>
      <c r="D379" s="26" t="s">
        <v>497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65</v>
      </c>
      <c r="L379" s="27" t="s">
        <v>497</v>
      </c>
      <c r="M379" s="28">
        <v>0</v>
      </c>
      <c r="N379" s="27" t="s">
        <v>116</v>
      </c>
      <c r="O379" s="28">
        <v>0</v>
      </c>
      <c r="P379" s="27" t="s">
        <v>117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499</v>
      </c>
      <c r="D380" s="26" t="s">
        <v>500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65</v>
      </c>
      <c r="L380" s="27" t="s">
        <v>139</v>
      </c>
      <c r="M380" s="28">
        <v>1</v>
      </c>
      <c r="N380" s="27" t="s">
        <v>66</v>
      </c>
      <c r="O380" s="28">
        <v>0</v>
      </c>
      <c r="P380" s="27" t="s">
        <v>501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502</v>
      </c>
      <c r="D381" s="26" t="s">
        <v>502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65</v>
      </c>
      <c r="L381" s="27" t="s">
        <v>139</v>
      </c>
      <c r="M381" s="28">
        <v>1</v>
      </c>
      <c r="N381" s="27" t="s">
        <v>66</v>
      </c>
      <c r="O381" s="28">
        <v>0</v>
      </c>
      <c r="P381" s="27" t="s">
        <v>501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503</v>
      </c>
      <c r="D382" s="26" t="s">
        <v>504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65</v>
      </c>
      <c r="L382" s="27" t="s">
        <v>358</v>
      </c>
      <c r="M382" s="28">
        <v>0</v>
      </c>
      <c r="N382" s="27" t="s">
        <v>505</v>
      </c>
      <c r="O382" s="28">
        <v>0</v>
      </c>
      <c r="P382" s="27" t="s">
        <v>66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506</v>
      </c>
      <c r="D383" s="26" t="s">
        <v>506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65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507</v>
      </c>
      <c r="D384" s="13" t="s">
        <v>507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65</v>
      </c>
      <c r="L384" s="11" t="s">
        <v>131</v>
      </c>
      <c r="M384" s="12">
        <v>0</v>
      </c>
      <c r="N384" s="11" t="s">
        <v>132</v>
      </c>
      <c r="O384" s="12">
        <v>0</v>
      </c>
      <c r="P384" s="11" t="s">
        <v>134</v>
      </c>
      <c r="Q384" s="12">
        <v>0</v>
      </c>
      <c r="R384" s="11" t="s">
        <v>135</v>
      </c>
      <c r="S384" s="12">
        <v>0</v>
      </c>
      <c r="T384" s="11" t="s">
        <v>436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508</v>
      </c>
      <c r="D385" s="13" t="s">
        <v>508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65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509</v>
      </c>
      <c r="D386" s="13" t="s">
        <v>510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65</v>
      </c>
      <c r="L386" s="11" t="s">
        <v>46</v>
      </c>
      <c r="M386" s="12">
        <v>1</v>
      </c>
      <c r="N386" s="11" t="s">
        <v>116</v>
      </c>
      <c r="O386" s="12">
        <v>0</v>
      </c>
      <c r="P386" s="11" t="s">
        <v>66</v>
      </c>
      <c r="Q386" s="12">
        <v>0</v>
      </c>
      <c r="R386" s="11" t="s">
        <v>349</v>
      </c>
      <c r="S386" s="12">
        <v>0</v>
      </c>
      <c r="T386" s="11" t="s">
        <v>350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511</v>
      </c>
      <c r="D387" s="13" t="s">
        <v>510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65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512</v>
      </c>
      <c r="D388" s="13" t="s">
        <v>512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65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513</v>
      </c>
      <c r="D389" s="13" t="s">
        <v>513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65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514</v>
      </c>
      <c r="D390" s="13" t="s">
        <v>514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65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515</v>
      </c>
      <c r="D391" s="13" t="s">
        <v>515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65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516</v>
      </c>
      <c r="D392" s="13" t="s">
        <v>516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65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517</v>
      </c>
      <c r="D393" s="26" t="s">
        <v>517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65</v>
      </c>
      <c r="L393" s="27" t="s">
        <v>66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518</v>
      </c>
      <c r="D394" s="26" t="s">
        <v>518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65</v>
      </c>
      <c r="L394" s="27" t="s">
        <v>66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519</v>
      </c>
      <c r="D395" s="13" t="s">
        <v>519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65</v>
      </c>
      <c r="L395" s="11" t="s">
        <v>312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520</v>
      </c>
      <c r="D396" s="13" t="s">
        <v>521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65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522</v>
      </c>
      <c r="D397" s="13" t="s">
        <v>523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65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524</v>
      </c>
      <c r="D398" s="26" t="s">
        <v>524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65</v>
      </c>
      <c r="L398" s="27" t="s">
        <v>525</v>
      </c>
      <c r="M398" s="28">
        <v>0</v>
      </c>
      <c r="N398" s="27" t="s">
        <v>66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526</v>
      </c>
      <c r="D399" s="26" t="s">
        <v>526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65</v>
      </c>
      <c r="L399" s="27" t="s">
        <v>525</v>
      </c>
      <c r="M399" s="28">
        <v>0</v>
      </c>
      <c r="N399" s="27" t="s">
        <v>66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527</v>
      </c>
      <c r="D400" s="13" t="s">
        <v>527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36</v>
      </c>
      <c r="L400" s="11" t="s">
        <v>116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528</v>
      </c>
      <c r="D401" s="13" t="s">
        <v>528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36</v>
      </c>
      <c r="L401" s="11" t="s">
        <v>116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529</v>
      </c>
      <c r="D402" s="26" t="s">
        <v>530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65</v>
      </c>
      <c r="L402" s="27" t="s">
        <v>46</v>
      </c>
      <c r="M402" s="28">
        <v>1</v>
      </c>
      <c r="N402" s="27" t="s">
        <v>66</v>
      </c>
      <c r="O402" s="28">
        <v>0</v>
      </c>
      <c r="P402" s="27" t="s">
        <v>530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531</v>
      </c>
      <c r="D403" s="26" t="s">
        <v>531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65</v>
      </c>
      <c r="L403" s="27" t="s">
        <v>46</v>
      </c>
      <c r="M403" s="28">
        <v>1</v>
      </c>
      <c r="N403" s="27" t="s">
        <v>66</v>
      </c>
      <c r="O403" s="28">
        <v>0</v>
      </c>
      <c r="P403" s="27" t="s">
        <v>156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532</v>
      </c>
      <c r="D404" s="13" t="s">
        <v>532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65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533</v>
      </c>
      <c r="D405" s="26" t="s">
        <v>533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65</v>
      </c>
      <c r="L405" s="27" t="s">
        <v>534</v>
      </c>
      <c r="M405" s="28">
        <v>0</v>
      </c>
      <c r="N405" s="27" t="s">
        <v>117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533</v>
      </c>
      <c r="D406" s="26" t="s">
        <v>533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65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535</v>
      </c>
      <c r="D407" s="13" t="s">
        <v>535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65</v>
      </c>
      <c r="L407" s="11" t="s">
        <v>46</v>
      </c>
      <c r="M407" s="12">
        <v>1</v>
      </c>
      <c r="N407" s="11" t="s">
        <v>536</v>
      </c>
      <c r="O407" s="12">
        <v>0</v>
      </c>
      <c r="P407" s="11" t="s">
        <v>537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538</v>
      </c>
      <c r="D408" s="13" t="s">
        <v>538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65</v>
      </c>
      <c r="L408" s="11" t="s">
        <v>46</v>
      </c>
      <c r="M408" s="12">
        <v>0</v>
      </c>
      <c r="N408" s="11" t="s">
        <v>536</v>
      </c>
      <c r="O408" s="12">
        <v>0</v>
      </c>
      <c r="P408" s="11" t="s">
        <v>539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540</v>
      </c>
      <c r="D409" s="13" t="s">
        <v>540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65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541</v>
      </c>
      <c r="D410" s="13" t="s">
        <v>541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65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542</v>
      </c>
      <c r="D411" s="13" t="s">
        <v>542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65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543</v>
      </c>
      <c r="D412" s="13" t="s">
        <v>543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65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544</v>
      </c>
      <c r="D413" s="13" t="s">
        <v>544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65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545</v>
      </c>
      <c r="D414" s="13" t="s">
        <v>545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65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546</v>
      </c>
      <c r="D415" s="13" t="s">
        <v>547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65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548</v>
      </c>
      <c r="D416" s="13" t="s">
        <v>547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65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549</v>
      </c>
      <c r="D417" s="13" t="s">
        <v>549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65</v>
      </c>
      <c r="L417" s="11" t="s">
        <v>323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550</v>
      </c>
      <c r="D418" s="13" t="s">
        <v>551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65</v>
      </c>
      <c r="L418" s="11" t="s">
        <v>552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553</v>
      </c>
      <c r="D419" s="13" t="s">
        <v>553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65</v>
      </c>
      <c r="L419" s="11" t="s">
        <v>554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555</v>
      </c>
      <c r="D420" s="13" t="s">
        <v>555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65</v>
      </c>
      <c r="L420" s="11" t="s">
        <v>556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557</v>
      </c>
      <c r="D421" s="13" t="s">
        <v>557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65</v>
      </c>
      <c r="L421" s="11" t="s">
        <v>558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s="29" customFormat="1" x14ac:dyDescent="0.45">
      <c r="A422" s="26">
        <v>600</v>
      </c>
      <c r="B422" s="26">
        <v>1</v>
      </c>
      <c r="C422" s="26" t="s">
        <v>559</v>
      </c>
      <c r="D422" s="26" t="s">
        <v>559</v>
      </c>
      <c r="E422" s="26">
        <v>0</v>
      </c>
      <c r="F422" s="26">
        <v>601</v>
      </c>
      <c r="G422" s="26">
        <v>1</v>
      </c>
      <c r="H422" s="26">
        <v>2</v>
      </c>
      <c r="I422" s="26">
        <v>0</v>
      </c>
      <c r="J422" s="27"/>
      <c r="K422" s="27" t="s">
        <v>65</v>
      </c>
      <c r="L422" s="27" t="s">
        <v>560</v>
      </c>
      <c r="M422" s="28">
        <v>0</v>
      </c>
      <c r="N422" s="27" t="s">
        <v>66</v>
      </c>
      <c r="O422" s="28">
        <v>0</v>
      </c>
      <c r="P422" s="27"/>
      <c r="Q422" s="28">
        <v>0</v>
      </c>
      <c r="R422" s="27"/>
      <c r="S422" s="28">
        <v>0</v>
      </c>
      <c r="T422" s="27"/>
      <c r="U422" s="28">
        <v>0</v>
      </c>
    </row>
    <row r="423" spans="1:21" s="29" customFormat="1" x14ac:dyDescent="0.45">
      <c r="A423" s="26">
        <v>601</v>
      </c>
      <c r="B423" s="26">
        <v>1</v>
      </c>
      <c r="C423" s="26" t="s">
        <v>561</v>
      </c>
      <c r="D423" s="26" t="s">
        <v>561</v>
      </c>
      <c r="E423" s="26">
        <v>0</v>
      </c>
      <c r="F423" s="26">
        <v>0</v>
      </c>
      <c r="G423" s="26">
        <v>1</v>
      </c>
      <c r="H423" s="26">
        <v>2</v>
      </c>
      <c r="I423" s="26">
        <v>0</v>
      </c>
      <c r="J423" s="27"/>
      <c r="K423" s="27" t="s">
        <v>65</v>
      </c>
      <c r="L423" s="27"/>
      <c r="M423" s="28">
        <v>0</v>
      </c>
      <c r="N423" s="27"/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x14ac:dyDescent="0.45">
      <c r="A424" s="13">
        <v>602</v>
      </c>
      <c r="B424" s="13">
        <v>0</v>
      </c>
      <c r="C424" s="13" t="s">
        <v>562</v>
      </c>
      <c r="D424" s="13" t="s">
        <v>562</v>
      </c>
      <c r="E424" s="13">
        <v>0</v>
      </c>
      <c r="F424" s="13">
        <v>0</v>
      </c>
      <c r="G424" s="13">
        <v>3</v>
      </c>
      <c r="H424" s="13">
        <v>0</v>
      </c>
      <c r="I424" s="13">
        <v>0</v>
      </c>
      <c r="J424" s="11"/>
      <c r="K424" s="11" t="s">
        <v>65</v>
      </c>
      <c r="L424" s="11"/>
      <c r="M424" s="12">
        <v>0</v>
      </c>
      <c r="N424" s="11"/>
      <c r="O424" s="12">
        <v>0</v>
      </c>
      <c r="P424" s="11"/>
      <c r="Q424" s="12">
        <v>0</v>
      </c>
      <c r="R424" s="11"/>
      <c r="S424" s="12">
        <v>0</v>
      </c>
      <c r="T424" s="11"/>
      <c r="U424" s="12">
        <v>0</v>
      </c>
    </row>
    <row r="425" spans="1:21" x14ac:dyDescent="0.45">
      <c r="A425" s="13">
        <v>603</v>
      </c>
      <c r="B425" s="13">
        <v>1</v>
      </c>
      <c r="C425" s="13" t="s">
        <v>431</v>
      </c>
      <c r="D425" s="13" t="s">
        <v>431</v>
      </c>
      <c r="E425" s="13">
        <v>0</v>
      </c>
      <c r="F425" s="13">
        <v>0</v>
      </c>
      <c r="G425" s="13">
        <v>1</v>
      </c>
      <c r="H425" s="13">
        <v>0</v>
      </c>
      <c r="I425" s="13">
        <v>0</v>
      </c>
      <c r="J425" s="11"/>
      <c r="K425" s="11" t="s">
        <v>65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604</v>
      </c>
      <c r="B426" s="13">
        <v>1</v>
      </c>
      <c r="C426" s="13" t="s">
        <v>563</v>
      </c>
      <c r="D426" s="13" t="s">
        <v>563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65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605</v>
      </c>
      <c r="B427" s="13">
        <v>1</v>
      </c>
      <c r="C427" s="13" t="s">
        <v>564</v>
      </c>
      <c r="D427" s="13" t="s">
        <v>564</v>
      </c>
      <c r="E427" s="13">
        <v>0</v>
      </c>
      <c r="F427" s="13">
        <v>606</v>
      </c>
      <c r="G427" s="13">
        <v>1</v>
      </c>
      <c r="H427" s="13">
        <v>0</v>
      </c>
      <c r="I427" s="13">
        <v>0</v>
      </c>
      <c r="J427" s="11"/>
      <c r="K427" s="11" t="s">
        <v>65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606</v>
      </c>
      <c r="B428" s="13">
        <v>1</v>
      </c>
      <c r="C428" s="13" t="s">
        <v>564</v>
      </c>
      <c r="D428" s="13" t="s">
        <v>564</v>
      </c>
      <c r="E428" s="13">
        <v>0</v>
      </c>
      <c r="F428" s="13">
        <v>0</v>
      </c>
      <c r="G428" s="13">
        <v>1</v>
      </c>
      <c r="H428" s="13">
        <v>0</v>
      </c>
      <c r="I428" s="13">
        <v>0</v>
      </c>
      <c r="J428" s="11"/>
      <c r="K428" s="11" t="s">
        <v>65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607</v>
      </c>
      <c r="B429" s="13">
        <v>1</v>
      </c>
      <c r="C429" s="13" t="s">
        <v>565</v>
      </c>
      <c r="D429" s="13" t="s">
        <v>565</v>
      </c>
      <c r="E429" s="13">
        <v>0</v>
      </c>
      <c r="F429" s="13">
        <v>608</v>
      </c>
      <c r="G429" s="13">
        <v>0</v>
      </c>
      <c r="H429" s="13">
        <v>1</v>
      </c>
      <c r="I429" s="13">
        <v>0</v>
      </c>
      <c r="J429" s="11"/>
      <c r="K429" s="11" t="s">
        <v>65</v>
      </c>
      <c r="L429" s="11" t="s">
        <v>46</v>
      </c>
      <c r="M429" s="12">
        <v>1</v>
      </c>
      <c r="N429" s="11" t="s">
        <v>116</v>
      </c>
      <c r="O429" s="12">
        <v>0</v>
      </c>
      <c r="P429" s="11" t="s">
        <v>66</v>
      </c>
      <c r="Q429" s="12">
        <v>0</v>
      </c>
      <c r="R429" s="11" t="s">
        <v>349</v>
      </c>
      <c r="S429" s="12">
        <v>0</v>
      </c>
      <c r="T429" s="11" t="s">
        <v>350</v>
      </c>
      <c r="U429" s="12">
        <v>0</v>
      </c>
    </row>
    <row r="430" spans="1:21" x14ac:dyDescent="0.45">
      <c r="A430" s="13">
        <v>608</v>
      </c>
      <c r="B430" s="13">
        <v>1</v>
      </c>
      <c r="C430" s="13" t="s">
        <v>565</v>
      </c>
      <c r="D430" s="13" t="s">
        <v>565</v>
      </c>
      <c r="E430" s="13">
        <v>0</v>
      </c>
      <c r="F430" s="13">
        <v>0</v>
      </c>
      <c r="G430" s="13">
        <v>1</v>
      </c>
      <c r="H430" s="13">
        <v>2</v>
      </c>
      <c r="I430" s="13">
        <v>0</v>
      </c>
      <c r="J430" s="11"/>
      <c r="K430" s="11" t="s">
        <v>65</v>
      </c>
      <c r="L430" s="11"/>
      <c r="M430" s="12">
        <v>0</v>
      </c>
      <c r="N430" s="11"/>
      <c r="O430" s="12">
        <v>0</v>
      </c>
      <c r="P430" s="11"/>
      <c r="Q430" s="12">
        <v>0</v>
      </c>
      <c r="R430" s="11"/>
      <c r="S430" s="12">
        <v>0</v>
      </c>
      <c r="T430" s="11"/>
      <c r="U430" s="12">
        <v>0</v>
      </c>
    </row>
    <row r="431" spans="1:21" x14ac:dyDescent="0.45">
      <c r="A431" s="13">
        <v>609</v>
      </c>
      <c r="B431" s="13">
        <v>1</v>
      </c>
      <c r="C431" s="13" t="s">
        <v>566</v>
      </c>
      <c r="D431" s="13" t="s">
        <v>566</v>
      </c>
      <c r="E431" s="13">
        <v>0</v>
      </c>
      <c r="F431" s="13">
        <v>610</v>
      </c>
      <c r="G431" s="13">
        <v>0</v>
      </c>
      <c r="H431" s="13">
        <v>1</v>
      </c>
      <c r="I431" s="13">
        <v>0</v>
      </c>
      <c r="J431" s="11"/>
      <c r="K431" s="11" t="s">
        <v>65</v>
      </c>
      <c r="L431" s="11" t="s">
        <v>46</v>
      </c>
      <c r="M431" s="12">
        <v>1</v>
      </c>
      <c r="N431" s="11" t="s">
        <v>116</v>
      </c>
      <c r="O431" s="12">
        <v>0</v>
      </c>
      <c r="P431" s="11" t="s">
        <v>66</v>
      </c>
      <c r="Q431" s="12">
        <v>0</v>
      </c>
      <c r="R431" s="11" t="s">
        <v>349</v>
      </c>
      <c r="S431" s="12">
        <v>0</v>
      </c>
      <c r="T431" s="11" t="s">
        <v>350</v>
      </c>
      <c r="U431" s="12">
        <v>0</v>
      </c>
    </row>
    <row r="432" spans="1:21" x14ac:dyDescent="0.45">
      <c r="A432" s="13">
        <v>610</v>
      </c>
      <c r="B432" s="13">
        <v>1</v>
      </c>
      <c r="C432" s="13" t="s">
        <v>566</v>
      </c>
      <c r="D432" s="13" t="s">
        <v>566</v>
      </c>
      <c r="E432" s="13">
        <v>0</v>
      </c>
      <c r="F432" s="13">
        <v>0</v>
      </c>
      <c r="G432" s="13">
        <v>1</v>
      </c>
      <c r="H432" s="13">
        <v>2</v>
      </c>
      <c r="I432" s="13">
        <v>0</v>
      </c>
      <c r="J432" s="11"/>
      <c r="K432" s="11" t="s">
        <v>65</v>
      </c>
      <c r="L432" s="11"/>
      <c r="M432" s="12">
        <v>0</v>
      </c>
      <c r="N432" s="11"/>
      <c r="O432" s="12">
        <v>0</v>
      </c>
      <c r="P432" s="11"/>
      <c r="Q432" s="12">
        <v>0</v>
      </c>
      <c r="R432" s="11"/>
      <c r="S432" s="12">
        <v>0</v>
      </c>
      <c r="T432" s="11"/>
      <c r="U432" s="12">
        <v>0</v>
      </c>
    </row>
    <row r="433" spans="1:21" x14ac:dyDescent="0.45">
      <c r="A433" s="13">
        <v>611</v>
      </c>
      <c r="B433" s="13">
        <v>1</v>
      </c>
      <c r="C433" s="13" t="s">
        <v>567</v>
      </c>
      <c r="D433" s="13" t="s">
        <v>567</v>
      </c>
      <c r="E433" s="13">
        <v>0</v>
      </c>
      <c r="F433" s="13">
        <v>612</v>
      </c>
      <c r="G433" s="13">
        <v>0</v>
      </c>
      <c r="H433" s="13">
        <v>1</v>
      </c>
      <c r="I433" s="13">
        <v>0</v>
      </c>
      <c r="J433" s="11"/>
      <c r="K433" s="11" t="s">
        <v>65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612</v>
      </c>
      <c r="B434" s="13">
        <v>1</v>
      </c>
      <c r="C434" s="13" t="s">
        <v>567</v>
      </c>
      <c r="D434" s="13" t="s">
        <v>567</v>
      </c>
      <c r="E434" s="13">
        <v>0</v>
      </c>
      <c r="F434" s="13">
        <v>0</v>
      </c>
      <c r="G434" s="13">
        <v>1</v>
      </c>
      <c r="H434" s="13">
        <v>2</v>
      </c>
      <c r="I434" s="13">
        <v>0</v>
      </c>
      <c r="J434" s="11"/>
      <c r="K434" s="11" t="s">
        <v>65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613</v>
      </c>
      <c r="B435" s="13">
        <v>1</v>
      </c>
      <c r="C435" s="13" t="s">
        <v>339</v>
      </c>
      <c r="D435" s="13" t="s">
        <v>339</v>
      </c>
      <c r="E435" s="13">
        <v>0</v>
      </c>
      <c r="F435" s="13">
        <v>0</v>
      </c>
      <c r="G435" s="13">
        <v>1</v>
      </c>
      <c r="H435" s="13">
        <v>0</v>
      </c>
      <c r="I435" s="13">
        <v>42</v>
      </c>
      <c r="J435" s="11"/>
      <c r="K435" s="11" t="s">
        <v>65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614</v>
      </c>
      <c r="B436" s="13">
        <v>1</v>
      </c>
      <c r="C436" s="13" t="s">
        <v>568</v>
      </c>
      <c r="D436" s="13" t="s">
        <v>568</v>
      </c>
      <c r="E436" s="13">
        <v>0</v>
      </c>
      <c r="F436" s="13">
        <v>0</v>
      </c>
      <c r="G436" s="13">
        <v>1</v>
      </c>
      <c r="H436" s="13">
        <v>1</v>
      </c>
      <c r="I436" s="13">
        <v>80</v>
      </c>
      <c r="J436" s="11"/>
      <c r="K436" s="11" t="s">
        <v>65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0">
        <v>615</v>
      </c>
      <c r="B437" s="10">
        <v>0</v>
      </c>
      <c r="C437" s="10" t="s">
        <v>569</v>
      </c>
      <c r="D437" s="10" t="s">
        <v>569</v>
      </c>
      <c r="E437" s="10">
        <v>0</v>
      </c>
      <c r="F437" s="10">
        <v>0</v>
      </c>
      <c r="G437" s="10">
        <v>0</v>
      </c>
      <c r="H437" s="10">
        <v>0</v>
      </c>
      <c r="I437" s="10">
        <v>0</v>
      </c>
      <c r="J437" s="8"/>
      <c r="K437" s="10" t="s">
        <v>65</v>
      </c>
      <c r="L437" s="8"/>
      <c r="M437" s="9">
        <v>0</v>
      </c>
      <c r="N437" s="8"/>
      <c r="O437" s="9">
        <v>0</v>
      </c>
      <c r="P437" s="8"/>
      <c r="Q437" s="9">
        <v>0</v>
      </c>
      <c r="R437" s="8"/>
      <c r="S437" s="9">
        <v>0</v>
      </c>
      <c r="T437" s="8"/>
      <c r="U437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貼り付け用</vt:lpstr>
      <vt:lpstr>数出表_Excel</vt:lpstr>
      <vt:lpstr>数出表_Excel（アレルギー入力）</vt:lpstr>
      <vt:lpstr>盛付札（関数）</vt:lpstr>
      <vt:lpstr>盛付札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2025-04-21T18:38:57Z</cp:lastPrinted>
  <dcterms:created xsi:type="dcterms:W3CDTF">2025-03-09T00:44:18Z</dcterms:created>
  <dcterms:modified xsi:type="dcterms:W3CDTF">2025-04-21T18:43:24Z</dcterms:modified>
</cp:coreProperties>
</file>